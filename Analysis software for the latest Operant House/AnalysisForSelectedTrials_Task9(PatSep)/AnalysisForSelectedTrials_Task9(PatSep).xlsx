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AnisLab\Code\1自作\1タッチパネル\OperantHouse結果解析ソフト\Released\AnalysisForSelectedTrials_Task9(PatSep).xlsx\"/>
    </mc:Choice>
  </mc:AlternateContent>
  <xr:revisionPtr revIDLastSave="0" documentId="13_ncr:1_{D0F5B93A-F803-4BCF-9F0C-89E5D443C9CD}" xr6:coauthVersionLast="47" xr6:coauthVersionMax="47" xr10:uidLastSave="{00000000-0000-0000-0000-000000000000}"/>
  <bookViews>
    <workbookView xWindow="57480" yWindow="-120" windowWidth="29040" windowHeight="16440" xr2:uid="{51D5C20E-DC4C-4479-9329-5547052343FD}"/>
  </bookViews>
  <sheets>
    <sheet name="2025_8_21 0h0m Task9 Tou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1" l="1"/>
  <c r="J147" i="1"/>
  <c r="J146" i="1"/>
  <c r="K146" i="1" s="1"/>
  <c r="J145" i="1"/>
  <c r="J144" i="1"/>
  <c r="J143" i="1"/>
  <c r="K143" i="1" s="1"/>
  <c r="J142" i="1"/>
  <c r="J141" i="1"/>
  <c r="K142" i="1" s="1"/>
  <c r="Y142" i="1" s="1"/>
  <c r="J140" i="1"/>
  <c r="J139" i="1"/>
  <c r="J138" i="1"/>
  <c r="J137" i="1"/>
  <c r="J136" i="1"/>
  <c r="K136" i="1" s="1"/>
  <c r="J135" i="1"/>
  <c r="J134" i="1"/>
  <c r="K134" i="1" s="1"/>
  <c r="L134" i="1" s="1"/>
  <c r="J133" i="1"/>
  <c r="K133" i="1" s="1"/>
  <c r="J132" i="1"/>
  <c r="J131" i="1"/>
  <c r="J130" i="1"/>
  <c r="J129" i="1"/>
  <c r="J128" i="1"/>
  <c r="K128" i="1" s="1"/>
  <c r="X128" i="1" s="1"/>
  <c r="J127" i="1"/>
  <c r="K127" i="1" s="1"/>
  <c r="J126" i="1"/>
  <c r="K126" i="1" s="1"/>
  <c r="Y126" i="1" s="1"/>
  <c r="J125" i="1"/>
  <c r="J124" i="1"/>
  <c r="J123" i="1"/>
  <c r="K123" i="1" s="1"/>
  <c r="J122" i="1"/>
  <c r="J121" i="1"/>
  <c r="J120" i="1"/>
  <c r="J119" i="1"/>
  <c r="K119" i="1" s="1"/>
  <c r="J118" i="1"/>
  <c r="K118" i="1" s="1"/>
  <c r="L118" i="1" s="1"/>
  <c r="J117" i="1"/>
  <c r="J116" i="1"/>
  <c r="J115" i="1"/>
  <c r="J114" i="1"/>
  <c r="J113" i="1"/>
  <c r="J112" i="1"/>
  <c r="J111" i="1"/>
  <c r="J110" i="1"/>
  <c r="K110" i="1" s="1"/>
  <c r="Y110" i="1" s="1"/>
  <c r="J109" i="1"/>
  <c r="K109" i="1" s="1"/>
  <c r="J108" i="1"/>
  <c r="J107" i="1"/>
  <c r="K107" i="1" s="1"/>
  <c r="J106" i="1"/>
  <c r="K106" i="1" s="1"/>
  <c r="L106" i="1" s="1"/>
  <c r="J105" i="1"/>
  <c r="J104" i="1"/>
  <c r="J103" i="1"/>
  <c r="K104" i="1" s="1"/>
  <c r="J102" i="1"/>
  <c r="K102" i="1" s="1"/>
  <c r="J101" i="1"/>
  <c r="K101" i="1" s="1"/>
  <c r="J100" i="1"/>
  <c r="J99" i="1"/>
  <c r="J98" i="1"/>
  <c r="J97" i="1"/>
  <c r="J96" i="1"/>
  <c r="J95" i="1"/>
  <c r="K95" i="1" s="1"/>
  <c r="L95" i="1" s="1"/>
  <c r="J94" i="1"/>
  <c r="K94" i="1" s="1"/>
  <c r="J93" i="1"/>
  <c r="J92" i="1"/>
  <c r="K92" i="1" s="1"/>
  <c r="J91" i="1"/>
  <c r="K91" i="1" s="1"/>
  <c r="J90" i="1"/>
  <c r="J89" i="1"/>
  <c r="J88" i="1"/>
  <c r="J87" i="1"/>
  <c r="K87" i="1" s="1"/>
  <c r="J86" i="1"/>
  <c r="J85" i="1"/>
  <c r="J84" i="1"/>
  <c r="J83" i="1"/>
  <c r="J82" i="1"/>
  <c r="J81" i="1"/>
  <c r="J80" i="1"/>
  <c r="J79" i="1"/>
  <c r="J78" i="1"/>
  <c r="K78" i="1" s="1"/>
  <c r="J77" i="1"/>
  <c r="J76" i="1"/>
  <c r="K76" i="1" s="1"/>
  <c r="J75" i="1"/>
  <c r="K75" i="1" s="1"/>
  <c r="J74" i="1"/>
  <c r="K74" i="1" s="1"/>
  <c r="L74" i="1" s="1"/>
  <c r="J73" i="1"/>
  <c r="J72" i="1"/>
  <c r="K72" i="1" s="1"/>
  <c r="J71" i="1"/>
  <c r="J70" i="1"/>
  <c r="K71" i="1" s="1"/>
  <c r="J69" i="1"/>
  <c r="J68" i="1"/>
  <c r="J67" i="1"/>
  <c r="K68" i="1" s="1"/>
  <c r="X68" i="1" s="1"/>
  <c r="J66" i="1"/>
  <c r="J65" i="1"/>
  <c r="J64" i="1"/>
  <c r="J63" i="1"/>
  <c r="J62" i="1"/>
  <c r="J61" i="1"/>
  <c r="J60" i="1"/>
  <c r="K60" i="1" s="1"/>
  <c r="J59" i="1"/>
  <c r="K59" i="1" s="1"/>
  <c r="M59" i="1" s="1"/>
  <c r="J58" i="1"/>
  <c r="J57" i="1"/>
  <c r="K57" i="1" s="1"/>
  <c r="J56" i="1"/>
  <c r="K56" i="1" s="1"/>
  <c r="J55" i="1"/>
  <c r="K55" i="1" s="1"/>
  <c r="J54" i="1"/>
  <c r="K54" i="1" s="1"/>
  <c r="J53" i="1"/>
  <c r="K53" i="1" s="1"/>
  <c r="J52" i="1"/>
  <c r="J51" i="1"/>
  <c r="J50" i="1"/>
  <c r="J49" i="1"/>
  <c r="K50" i="1" s="1"/>
  <c r="J48" i="1"/>
  <c r="J47" i="1"/>
  <c r="J46" i="1"/>
  <c r="J45" i="1"/>
  <c r="J44" i="1"/>
  <c r="J43" i="1"/>
  <c r="K43" i="1" s="1"/>
  <c r="J42" i="1"/>
  <c r="J41" i="1"/>
  <c r="K41" i="1" s="1"/>
  <c r="J40" i="1"/>
  <c r="K40" i="1" s="1"/>
  <c r="J39" i="1"/>
  <c r="J38" i="1"/>
  <c r="K38" i="1" s="1"/>
  <c r="J37" i="1"/>
  <c r="J36" i="1"/>
  <c r="J35" i="1"/>
  <c r="K36" i="1" s="1"/>
  <c r="J34" i="1"/>
  <c r="J33" i="1"/>
  <c r="J32" i="1"/>
  <c r="J31" i="1"/>
  <c r="J30" i="1"/>
  <c r="J29" i="1"/>
  <c r="J28" i="1"/>
  <c r="J27" i="1"/>
  <c r="K27" i="1" s="1"/>
  <c r="J26" i="1"/>
  <c r="J25" i="1"/>
  <c r="K25" i="1" s="1"/>
  <c r="J24" i="1"/>
  <c r="J23" i="1"/>
  <c r="J22" i="1"/>
  <c r="K22" i="1" s="1"/>
  <c r="Y22" i="1" s="1"/>
  <c r="J21" i="1"/>
  <c r="J20" i="1"/>
  <c r="J19" i="1"/>
  <c r="J18" i="1"/>
  <c r="J17" i="1"/>
  <c r="K17" i="1" s="1"/>
  <c r="J16" i="1"/>
  <c r="J15" i="1"/>
  <c r="J14" i="1"/>
  <c r="J13" i="1"/>
  <c r="J12" i="1"/>
  <c r="J11" i="1"/>
  <c r="J10" i="1"/>
  <c r="M4" i="1"/>
  <c r="N4" i="1" s="1"/>
  <c r="K148" i="1"/>
  <c r="X148" i="1" s="1"/>
  <c r="U148" i="1"/>
  <c r="K147" i="1"/>
  <c r="U147" i="1"/>
  <c r="U146" i="1"/>
  <c r="U145" i="1"/>
  <c r="U144" i="1"/>
  <c r="U143" i="1"/>
  <c r="U142" i="1"/>
  <c r="U141" i="1"/>
  <c r="K139" i="1"/>
  <c r="U140" i="1"/>
  <c r="U139" i="1"/>
  <c r="K137" i="1"/>
  <c r="K138" i="1"/>
  <c r="L138" i="1" s="1"/>
  <c r="U138" i="1"/>
  <c r="U137" i="1"/>
  <c r="U136" i="1"/>
  <c r="U135" i="1"/>
  <c r="U134" i="1"/>
  <c r="U133" i="1"/>
  <c r="K131" i="1"/>
  <c r="U132" i="1"/>
  <c r="K130" i="1"/>
  <c r="U131" i="1"/>
  <c r="U130" i="1"/>
  <c r="K129" i="1"/>
  <c r="U129" i="1"/>
  <c r="U128" i="1"/>
  <c r="U127" i="1"/>
  <c r="U126" i="1"/>
  <c r="U125" i="1"/>
  <c r="K124" i="1"/>
  <c r="U124" i="1"/>
  <c r="U123" i="1"/>
  <c r="K122" i="1"/>
  <c r="L122" i="1" s="1"/>
  <c r="Y122" i="1"/>
  <c r="U122" i="1"/>
  <c r="U121" i="1"/>
  <c r="U120" i="1"/>
  <c r="U119" i="1"/>
  <c r="U118" i="1"/>
  <c r="U117" i="1"/>
  <c r="K115" i="1"/>
  <c r="K116" i="1"/>
  <c r="X116" i="1" s="1"/>
  <c r="U116" i="1"/>
  <c r="K114" i="1"/>
  <c r="U115" i="1"/>
  <c r="U114" i="1"/>
  <c r="K113" i="1"/>
  <c r="U113" i="1"/>
  <c r="K111" i="1"/>
  <c r="U112" i="1"/>
  <c r="U111" i="1"/>
  <c r="U110" i="1"/>
  <c r="U109" i="1"/>
  <c r="U108" i="1"/>
  <c r="U107" i="1"/>
  <c r="U106" i="1"/>
  <c r="U105" i="1"/>
  <c r="U104" i="1"/>
  <c r="K103" i="1"/>
  <c r="U103" i="1"/>
  <c r="U102" i="1"/>
  <c r="U101" i="1"/>
  <c r="U100" i="1"/>
  <c r="K99" i="1"/>
  <c r="U99" i="1"/>
  <c r="K98" i="1"/>
  <c r="Y98" i="1"/>
  <c r="X98" i="1"/>
  <c r="U98" i="1"/>
  <c r="M98" i="1"/>
  <c r="L98" i="1"/>
  <c r="K96" i="1"/>
  <c r="X96" i="1" s="1"/>
  <c r="U97" i="1"/>
  <c r="U96" i="1"/>
  <c r="U95" i="1"/>
  <c r="U94" i="1"/>
  <c r="U93" i="1"/>
  <c r="U92" i="1"/>
  <c r="U91" i="1"/>
  <c r="K90" i="1"/>
  <c r="L90" i="1" s="1"/>
  <c r="Y90" i="1"/>
  <c r="U90" i="1"/>
  <c r="U89" i="1"/>
  <c r="K88" i="1"/>
  <c r="U88" i="1"/>
  <c r="U87" i="1"/>
  <c r="U86" i="1"/>
  <c r="K84" i="1"/>
  <c r="X84" i="1" s="1"/>
  <c r="U85" i="1"/>
  <c r="K83" i="1"/>
  <c r="U84" i="1"/>
  <c r="U83" i="1"/>
  <c r="K82" i="1"/>
  <c r="M82" i="1" s="1"/>
  <c r="U82" i="1"/>
  <c r="K80" i="1"/>
  <c r="X80" i="1" s="1"/>
  <c r="U81" i="1"/>
  <c r="U80" i="1"/>
  <c r="K79" i="1"/>
  <c r="L79" i="1" s="1"/>
  <c r="U79" i="1"/>
  <c r="U78" i="1"/>
  <c r="U77" i="1"/>
  <c r="U76" i="1"/>
  <c r="U75" i="1"/>
  <c r="U74" i="1"/>
  <c r="U73" i="1"/>
  <c r="U72" i="1"/>
  <c r="U71" i="1"/>
  <c r="U70" i="1"/>
  <c r="U69" i="1"/>
  <c r="U68" i="1"/>
  <c r="K66" i="1"/>
  <c r="K67" i="1"/>
  <c r="U67" i="1"/>
  <c r="U66" i="1"/>
  <c r="U65" i="1"/>
  <c r="K64" i="1"/>
  <c r="X64" i="1"/>
  <c r="U64" i="1"/>
  <c r="K62" i="1"/>
  <c r="K63" i="1"/>
  <c r="U63" i="1"/>
  <c r="U62" i="1"/>
  <c r="U61" i="1"/>
  <c r="U60" i="1"/>
  <c r="U59" i="1"/>
  <c r="U58" i="1"/>
  <c r="U57" i="1"/>
  <c r="U56" i="1"/>
  <c r="U55" i="1"/>
  <c r="U54" i="1"/>
  <c r="U53" i="1"/>
  <c r="K51" i="1"/>
  <c r="U52" i="1"/>
  <c r="U51" i="1"/>
  <c r="U50" i="1"/>
  <c r="K49" i="1"/>
  <c r="U49" i="1"/>
  <c r="K47" i="1"/>
  <c r="U48" i="1"/>
  <c r="U47" i="1"/>
  <c r="K46" i="1"/>
  <c r="U46" i="1"/>
  <c r="K45" i="1"/>
  <c r="U45" i="1"/>
  <c r="U44" i="1"/>
  <c r="U43" i="1"/>
  <c r="U42" i="1"/>
  <c r="U41" i="1"/>
  <c r="U40" i="1"/>
  <c r="U39" i="1"/>
  <c r="U38" i="1"/>
  <c r="U37" i="1"/>
  <c r="U36" i="1"/>
  <c r="K35" i="1"/>
  <c r="U35" i="1"/>
  <c r="K33" i="1"/>
  <c r="U34" i="1"/>
  <c r="U33" i="1"/>
  <c r="K32" i="1"/>
  <c r="U32" i="1"/>
  <c r="K31" i="1"/>
  <c r="M31" i="1" s="1"/>
  <c r="Y31" i="1"/>
  <c r="U31" i="1"/>
  <c r="U30" i="1"/>
  <c r="K28" i="1"/>
  <c r="K29" i="1"/>
  <c r="X29" i="1" s="1"/>
  <c r="U29" i="1"/>
  <c r="U28" i="1"/>
  <c r="U27" i="1"/>
  <c r="U26" i="1"/>
  <c r="U25" i="1"/>
  <c r="U24" i="1"/>
  <c r="U23" i="1"/>
  <c r="U22" i="1"/>
  <c r="K20" i="1"/>
  <c r="U21" i="1"/>
  <c r="U20" i="1"/>
  <c r="K19" i="1"/>
  <c r="Y19" i="1" s="1"/>
  <c r="U19" i="1"/>
  <c r="U18" i="1"/>
  <c r="U17" i="1"/>
  <c r="K16" i="1"/>
  <c r="Y16" i="1"/>
  <c r="U16" i="1"/>
  <c r="K14" i="1"/>
  <c r="U15" i="1"/>
  <c r="U14" i="1"/>
  <c r="K12" i="1"/>
  <c r="U13" i="1"/>
  <c r="U12" i="1"/>
  <c r="K11" i="1"/>
  <c r="U11" i="1"/>
  <c r="Y43" i="1" l="1"/>
  <c r="X43" i="1"/>
  <c r="M43" i="1"/>
  <c r="L43" i="1"/>
  <c r="M91" i="1"/>
  <c r="X91" i="1"/>
  <c r="M75" i="1"/>
  <c r="X75" i="1"/>
  <c r="L50" i="1"/>
  <c r="Y50" i="1"/>
  <c r="X50" i="1"/>
  <c r="M50" i="1"/>
  <c r="L36" i="1"/>
  <c r="X36" i="1"/>
  <c r="O4" i="1"/>
  <c r="Z16" i="1"/>
  <c r="N59" i="1"/>
  <c r="Z22" i="1"/>
  <c r="Z126" i="1"/>
  <c r="Z98" i="1"/>
  <c r="Z82" i="1"/>
  <c r="N122" i="1"/>
  <c r="Z142" i="1"/>
  <c r="N22" i="1"/>
  <c r="Z31" i="1"/>
  <c r="Z91" i="1"/>
  <c r="Z79" i="1"/>
  <c r="N91" i="1"/>
  <c r="Z50" i="1"/>
  <c r="Z40" i="1"/>
  <c r="Z67" i="1"/>
  <c r="Z110" i="1"/>
  <c r="Z75" i="1"/>
  <c r="Z147" i="1"/>
  <c r="Z122" i="1"/>
  <c r="Z43" i="1"/>
  <c r="Z90" i="1"/>
  <c r="Z138" i="1"/>
  <c r="Z95" i="1"/>
  <c r="Z78" i="1"/>
  <c r="Z99" i="1"/>
  <c r="O16" i="1"/>
  <c r="Z83" i="1"/>
  <c r="N19" i="1"/>
  <c r="Z115" i="1"/>
  <c r="Z54" i="1"/>
  <c r="Z25" i="1"/>
  <c r="Z63" i="1"/>
  <c r="Z102" i="1"/>
  <c r="O50" i="1"/>
  <c r="Z14" i="1"/>
  <c r="Z51" i="1"/>
  <c r="Z131" i="1"/>
  <c r="Z46" i="1"/>
  <c r="Z118" i="1"/>
  <c r="N60" i="1"/>
  <c r="Z29" i="1"/>
  <c r="O98" i="1"/>
  <c r="N124" i="1"/>
  <c r="L47" i="1"/>
  <c r="Z47" i="1"/>
  <c r="N137" i="1"/>
  <c r="L137" i="1"/>
  <c r="O137" i="1"/>
  <c r="M137" i="1"/>
  <c r="Y137" i="1"/>
  <c r="X137" i="1"/>
  <c r="Z17" i="1"/>
  <c r="M17" i="1"/>
  <c r="L17" i="1"/>
  <c r="O130" i="1"/>
  <c r="L130" i="1"/>
  <c r="X130" i="1"/>
  <c r="Z130" i="1"/>
  <c r="Y130" i="1"/>
  <c r="M130" i="1"/>
  <c r="L143" i="1"/>
  <c r="Z143" i="1"/>
  <c r="Z114" i="1"/>
  <c r="X114" i="1"/>
  <c r="Y114" i="1"/>
  <c r="O114" i="1"/>
  <c r="M114" i="1"/>
  <c r="L114" i="1"/>
  <c r="O20" i="1"/>
  <c r="Z20" i="1"/>
  <c r="X20" i="1"/>
  <c r="L20" i="1"/>
  <c r="Z62" i="1"/>
  <c r="Y62" i="1"/>
  <c r="Z127" i="1"/>
  <c r="L127" i="1"/>
  <c r="M139" i="1"/>
  <c r="N139" i="1"/>
  <c r="Z139" i="1"/>
  <c r="Y139" i="1"/>
  <c r="X139" i="1"/>
  <c r="N92" i="1"/>
  <c r="O92" i="1"/>
  <c r="O66" i="1"/>
  <c r="M66" i="1"/>
  <c r="L66" i="1"/>
  <c r="Z66" i="1"/>
  <c r="Y66" i="1"/>
  <c r="X66" i="1"/>
  <c r="N136" i="1"/>
  <c r="M136" i="1"/>
  <c r="L136" i="1"/>
  <c r="Y136" i="1"/>
  <c r="X136" i="1"/>
  <c r="M107" i="1"/>
  <c r="X107" i="1"/>
  <c r="N107" i="1"/>
  <c r="Z107" i="1"/>
  <c r="X38" i="1"/>
  <c r="O38" i="1"/>
  <c r="N38" i="1"/>
  <c r="L38" i="1"/>
  <c r="Z38" i="1"/>
  <c r="Y38" i="1"/>
  <c r="Z94" i="1"/>
  <c r="Y94" i="1"/>
  <c r="P4" i="1"/>
  <c r="P16" i="1" s="1"/>
  <c r="O118" i="1"/>
  <c r="O54" i="1"/>
  <c r="O60" i="1"/>
  <c r="O134" i="1"/>
  <c r="O122" i="1"/>
  <c r="O138" i="1"/>
  <c r="O82" i="1"/>
  <c r="N32" i="1"/>
  <c r="Y32" i="1"/>
  <c r="X32" i="1"/>
  <c r="Z32" i="1"/>
  <c r="O32" i="1"/>
  <c r="Y28" i="1"/>
  <c r="Z28" i="1"/>
  <c r="O28" i="1"/>
  <c r="N28" i="1"/>
  <c r="M28" i="1"/>
  <c r="L28" i="1"/>
  <c r="N76" i="1"/>
  <c r="O76" i="1"/>
  <c r="L111" i="1"/>
  <c r="Z111" i="1"/>
  <c r="M123" i="1"/>
  <c r="N123" i="1"/>
  <c r="Z123" i="1"/>
  <c r="X123" i="1"/>
  <c r="M19" i="1"/>
  <c r="U6" i="1"/>
  <c r="L63" i="1"/>
  <c r="K70" i="1"/>
  <c r="M70" i="1" s="1"/>
  <c r="X106" i="1"/>
  <c r="X22" i="1"/>
  <c r="N43" i="1"/>
  <c r="Y46" i="1"/>
  <c r="X59" i="1"/>
  <c r="N75" i="1"/>
  <c r="X82" i="1"/>
  <c r="L102" i="1"/>
  <c r="Y106" i="1"/>
  <c r="K132" i="1"/>
  <c r="X132" i="1" s="1"/>
  <c r="X138" i="1"/>
  <c r="K141" i="1"/>
  <c r="N141" i="1" s="1"/>
  <c r="K145" i="1"/>
  <c r="Z145" i="1" s="1"/>
  <c r="L54" i="1"/>
  <c r="Z59" i="1"/>
  <c r="Y82" i="1"/>
  <c r="K86" i="1"/>
  <c r="X86" i="1" s="1"/>
  <c r="O102" i="1"/>
  <c r="Z106" i="1"/>
  <c r="K117" i="1"/>
  <c r="Y117" i="1" s="1"/>
  <c r="X122" i="1"/>
  <c r="K125" i="1"/>
  <c r="O125" i="1" s="1"/>
  <c r="Y138" i="1"/>
  <c r="K23" i="1"/>
  <c r="Z23" i="1" s="1"/>
  <c r="K30" i="1"/>
  <c r="K39" i="1"/>
  <c r="L39" i="1" s="1"/>
  <c r="M74" i="1"/>
  <c r="Z134" i="1"/>
  <c r="P40" i="1"/>
  <c r="L31" i="1"/>
  <c r="K37" i="1"/>
  <c r="Z37" i="1" s="1"/>
  <c r="N74" i="1"/>
  <c r="K89" i="1"/>
  <c r="X89" i="1" s="1"/>
  <c r="O19" i="1"/>
  <c r="U5" i="1"/>
  <c r="L29" i="1"/>
  <c r="N31" i="1"/>
  <c r="K61" i="1"/>
  <c r="Y61" i="1" s="1"/>
  <c r="K65" i="1"/>
  <c r="X65" i="1" s="1"/>
  <c r="O74" i="1"/>
  <c r="M90" i="1"/>
  <c r="M29" i="1"/>
  <c r="O31" i="1"/>
  <c r="N90" i="1"/>
  <c r="K105" i="1"/>
  <c r="P105" i="1" s="1"/>
  <c r="K120" i="1"/>
  <c r="M120" i="1" s="1"/>
  <c r="K135" i="1"/>
  <c r="Z135" i="1" s="1"/>
  <c r="N29" i="1"/>
  <c r="K44" i="1"/>
  <c r="X44" i="1" s="1"/>
  <c r="K48" i="1"/>
  <c r="X48" i="1" s="1"/>
  <c r="K69" i="1"/>
  <c r="O69" i="1" s="1"/>
  <c r="X74" i="1"/>
  <c r="K77" i="1"/>
  <c r="M77" i="1" s="1"/>
  <c r="K81" i="1"/>
  <c r="O81" i="1" s="1"/>
  <c r="O90" i="1"/>
  <c r="M106" i="1"/>
  <c r="O29" i="1"/>
  <c r="Y74" i="1"/>
  <c r="L82" i="1"/>
  <c r="K100" i="1"/>
  <c r="X100" i="1" s="1"/>
  <c r="N106" i="1"/>
  <c r="K108" i="1"/>
  <c r="M108" i="1" s="1"/>
  <c r="K112" i="1"/>
  <c r="X112" i="1" s="1"/>
  <c r="K121" i="1"/>
  <c r="Z121" i="1" s="1"/>
  <c r="O124" i="1"/>
  <c r="M138" i="1"/>
  <c r="Z136" i="1"/>
  <c r="K73" i="1"/>
  <c r="Z73" i="1" s="1"/>
  <c r="X31" i="1"/>
  <c r="K42" i="1"/>
  <c r="L42" i="1" s="1"/>
  <c r="K52" i="1"/>
  <c r="X52" i="1" s="1"/>
  <c r="K58" i="1"/>
  <c r="Z74" i="1"/>
  <c r="Y78" i="1"/>
  <c r="K85" i="1"/>
  <c r="X90" i="1"/>
  <c r="K93" i="1"/>
  <c r="K97" i="1"/>
  <c r="N97" i="1" s="1"/>
  <c r="O106" i="1"/>
  <c r="M122" i="1"/>
  <c r="N138" i="1"/>
  <c r="K140" i="1"/>
  <c r="N140" i="1" s="1"/>
  <c r="K144" i="1"/>
  <c r="X144" i="1" s="1"/>
  <c r="M23" i="1"/>
  <c r="L23" i="1"/>
  <c r="U7" i="1"/>
  <c r="Y12" i="1"/>
  <c r="Z12" i="1"/>
  <c r="P12" i="1"/>
  <c r="O12" i="1"/>
  <c r="M12" i="1"/>
  <c r="X12" i="1"/>
  <c r="L12" i="1"/>
  <c r="N12" i="1"/>
  <c r="O33" i="1"/>
  <c r="N33" i="1"/>
  <c r="M33" i="1"/>
  <c r="L33" i="1"/>
  <c r="Y33" i="1"/>
  <c r="X33" i="1"/>
  <c r="Z33" i="1"/>
  <c r="X11" i="1"/>
  <c r="N11" i="1"/>
  <c r="M11" i="1"/>
  <c r="N45" i="1"/>
  <c r="L45" i="1"/>
  <c r="Z45" i="1"/>
  <c r="Y45" i="1"/>
  <c r="X45" i="1"/>
  <c r="O49" i="1"/>
  <c r="N49" i="1"/>
  <c r="M49" i="1"/>
  <c r="L49" i="1"/>
  <c r="Z49" i="1"/>
  <c r="Y49" i="1"/>
  <c r="X49" i="1"/>
  <c r="Y11" i="1"/>
  <c r="X14" i="1"/>
  <c r="Y14" i="1"/>
  <c r="X25" i="1"/>
  <c r="O25" i="1"/>
  <c r="N25" i="1"/>
  <c r="L25" i="1"/>
  <c r="Z27" i="1"/>
  <c r="Y27" i="1"/>
  <c r="X27" i="1"/>
  <c r="O27" i="1"/>
  <c r="N27" i="1"/>
  <c r="Y101" i="1"/>
  <c r="X101" i="1"/>
  <c r="O101" i="1"/>
  <c r="N101" i="1"/>
  <c r="M101" i="1"/>
  <c r="L101" i="1"/>
  <c r="Z101" i="1"/>
  <c r="O109" i="1"/>
  <c r="N109" i="1"/>
  <c r="M109" i="1"/>
  <c r="L109" i="1"/>
  <c r="Z109" i="1"/>
  <c r="Y109" i="1"/>
  <c r="X109" i="1"/>
  <c r="O113" i="1"/>
  <c r="N113" i="1"/>
  <c r="M113" i="1"/>
  <c r="L113" i="1"/>
  <c r="Z113" i="1"/>
  <c r="Y113" i="1"/>
  <c r="X113" i="1"/>
  <c r="Z11" i="1"/>
  <c r="K13" i="1"/>
  <c r="N17" i="1"/>
  <c r="Y17" i="1"/>
  <c r="X17" i="1"/>
  <c r="Y53" i="1"/>
  <c r="X53" i="1"/>
  <c r="O53" i="1"/>
  <c r="N53" i="1"/>
  <c r="M53" i="1"/>
  <c r="L53" i="1"/>
  <c r="Z53" i="1"/>
  <c r="O141" i="1"/>
  <c r="O145" i="1"/>
  <c r="N145" i="1"/>
  <c r="M145" i="1"/>
  <c r="L145" i="1"/>
  <c r="Y133" i="1"/>
  <c r="X133" i="1"/>
  <c r="O133" i="1"/>
  <c r="N133" i="1"/>
  <c r="M133" i="1"/>
  <c r="L133" i="1"/>
  <c r="Z133" i="1"/>
  <c r="M16" i="1"/>
  <c r="X16" i="1"/>
  <c r="Z41" i="1"/>
  <c r="Y41" i="1"/>
  <c r="X41" i="1"/>
  <c r="P41" i="1"/>
  <c r="O41" i="1"/>
  <c r="N41" i="1"/>
  <c r="M41" i="1"/>
  <c r="L41" i="1"/>
  <c r="Z88" i="1"/>
  <c r="Y88" i="1"/>
  <c r="X88" i="1"/>
  <c r="O88" i="1"/>
  <c r="N88" i="1"/>
  <c r="M88" i="1"/>
  <c r="L88" i="1"/>
  <c r="Z103" i="1"/>
  <c r="Y103" i="1"/>
  <c r="X103" i="1"/>
  <c r="O103" i="1"/>
  <c r="N103" i="1"/>
  <c r="M103" i="1"/>
  <c r="L103" i="1"/>
  <c r="L14" i="1"/>
  <c r="L19" i="1"/>
  <c r="Z19" i="1"/>
  <c r="X19" i="1"/>
  <c r="K24" i="1"/>
  <c r="Z55" i="1"/>
  <c r="Y55" i="1"/>
  <c r="X55" i="1"/>
  <c r="O55" i="1"/>
  <c r="N55" i="1"/>
  <c r="M55" i="1"/>
  <c r="L55" i="1"/>
  <c r="O129" i="1"/>
  <c r="N129" i="1"/>
  <c r="M129" i="1"/>
  <c r="L129" i="1"/>
  <c r="Z129" i="1"/>
  <c r="Y129" i="1"/>
  <c r="X129" i="1"/>
  <c r="Z71" i="1"/>
  <c r="Y71" i="1"/>
  <c r="X71" i="1"/>
  <c r="O71" i="1"/>
  <c r="N71" i="1"/>
  <c r="M71" i="1"/>
  <c r="L71" i="1"/>
  <c r="Z87" i="1"/>
  <c r="Y87" i="1"/>
  <c r="X87" i="1"/>
  <c r="O87" i="1"/>
  <c r="N87" i="1"/>
  <c r="M87" i="1"/>
  <c r="L87" i="1"/>
  <c r="K26" i="1"/>
  <c r="O11" i="1"/>
  <c r="N14" i="1"/>
  <c r="M25" i="1"/>
  <c r="O14" i="1"/>
  <c r="K15" i="1"/>
  <c r="L27" i="1"/>
  <c r="Z105" i="1"/>
  <c r="Y105" i="1"/>
  <c r="X105" i="1"/>
  <c r="Y120" i="1"/>
  <c r="X120" i="1"/>
  <c r="O120" i="1"/>
  <c r="N120" i="1"/>
  <c r="Y135" i="1"/>
  <c r="X135" i="1"/>
  <c r="N135" i="1"/>
  <c r="M135" i="1"/>
  <c r="L135" i="1"/>
  <c r="O146" i="1"/>
  <c r="N146" i="1"/>
  <c r="M146" i="1"/>
  <c r="L146" i="1"/>
  <c r="Z146" i="1"/>
  <c r="Y146" i="1"/>
  <c r="X146" i="1"/>
  <c r="L11" i="1"/>
  <c r="O17" i="1"/>
  <c r="K21" i="1"/>
  <c r="M27" i="1"/>
  <c r="M37" i="1"/>
  <c r="M45" i="1"/>
  <c r="Z57" i="1"/>
  <c r="Y57" i="1"/>
  <c r="X57" i="1"/>
  <c r="O57" i="1"/>
  <c r="N57" i="1"/>
  <c r="M57" i="1"/>
  <c r="L57" i="1"/>
  <c r="P75" i="1"/>
  <c r="Y40" i="1"/>
  <c r="X40" i="1"/>
  <c r="O40" i="1"/>
  <c r="N40" i="1"/>
  <c r="M40" i="1"/>
  <c r="L40" i="1"/>
  <c r="Z72" i="1"/>
  <c r="Y72" i="1"/>
  <c r="X72" i="1"/>
  <c r="O72" i="1"/>
  <c r="N72" i="1"/>
  <c r="M72" i="1"/>
  <c r="L72" i="1"/>
  <c r="O22" i="1"/>
  <c r="L22" i="1"/>
  <c r="Z89" i="1"/>
  <c r="Y89" i="1"/>
  <c r="Z104" i="1"/>
  <c r="Y104" i="1"/>
  <c r="X104" i="1"/>
  <c r="O104" i="1"/>
  <c r="N104" i="1"/>
  <c r="M104" i="1"/>
  <c r="L104" i="1"/>
  <c r="Z119" i="1"/>
  <c r="Y119" i="1"/>
  <c r="X119" i="1"/>
  <c r="O119" i="1"/>
  <c r="N119" i="1"/>
  <c r="M119" i="1"/>
  <c r="L119" i="1"/>
  <c r="Z56" i="1"/>
  <c r="Y56" i="1"/>
  <c r="X56" i="1"/>
  <c r="O56" i="1"/>
  <c r="N56" i="1"/>
  <c r="M56" i="1"/>
  <c r="L56" i="1"/>
  <c r="L16" i="1"/>
  <c r="K18" i="1"/>
  <c r="O45" i="1"/>
  <c r="Z117" i="1"/>
  <c r="O35" i="1"/>
  <c r="N35" i="1"/>
  <c r="M35" i="1"/>
  <c r="L35" i="1"/>
  <c r="Z35" i="1"/>
  <c r="Y35" i="1"/>
  <c r="X35" i="1"/>
  <c r="M14" i="1"/>
  <c r="N16" i="1"/>
  <c r="M22" i="1"/>
  <c r="Y25" i="1"/>
  <c r="K34" i="1"/>
  <c r="L58" i="1"/>
  <c r="Z58" i="1"/>
  <c r="Y58" i="1"/>
  <c r="X58" i="1"/>
  <c r="O58" i="1"/>
  <c r="N58" i="1"/>
  <c r="M58" i="1"/>
  <c r="Y85" i="1"/>
  <c r="X85" i="1"/>
  <c r="O85" i="1"/>
  <c r="N85" i="1"/>
  <c r="M85" i="1"/>
  <c r="L85" i="1"/>
  <c r="Z85" i="1"/>
  <c r="O93" i="1"/>
  <c r="N93" i="1"/>
  <c r="M93" i="1"/>
  <c r="L93" i="1"/>
  <c r="Z93" i="1"/>
  <c r="Y93" i="1"/>
  <c r="X93" i="1"/>
  <c r="O97" i="1"/>
  <c r="Y20" i="1"/>
  <c r="Y36" i="1"/>
  <c r="X51" i="1"/>
  <c r="X67" i="1"/>
  <c r="Y68" i="1"/>
  <c r="X83" i="1"/>
  <c r="Y84" i="1"/>
  <c r="X99" i="1"/>
  <c r="Y100" i="1"/>
  <c r="X115" i="1"/>
  <c r="Y116" i="1"/>
  <c r="X131" i="1"/>
  <c r="X147" i="1"/>
  <c r="Y148" i="1"/>
  <c r="Z36" i="1"/>
  <c r="O43" i="1"/>
  <c r="Y51" i="1"/>
  <c r="O59" i="1"/>
  <c r="Y67" i="1"/>
  <c r="Z68" i="1"/>
  <c r="O75" i="1"/>
  <c r="Y83" i="1"/>
  <c r="Z84" i="1"/>
  <c r="O91" i="1"/>
  <c r="Y99" i="1"/>
  <c r="Z100" i="1"/>
  <c r="O107" i="1"/>
  <c r="Y115" i="1"/>
  <c r="Z116" i="1"/>
  <c r="O123" i="1"/>
  <c r="Y131" i="1"/>
  <c r="O139" i="1"/>
  <c r="Y147" i="1"/>
  <c r="Z148" i="1"/>
  <c r="M38" i="1"/>
  <c r="X47" i="1"/>
  <c r="Y48" i="1"/>
  <c r="M54" i="1"/>
  <c r="X63" i="1"/>
  <c r="Y64" i="1"/>
  <c r="X79" i="1"/>
  <c r="Y80" i="1"/>
  <c r="X95" i="1"/>
  <c r="Y96" i="1"/>
  <c r="M102" i="1"/>
  <c r="X111" i="1"/>
  <c r="Y112" i="1"/>
  <c r="M118" i="1"/>
  <c r="X127" i="1"/>
  <c r="Y128" i="1"/>
  <c r="M134" i="1"/>
  <c r="O136" i="1"/>
  <c r="X143" i="1"/>
  <c r="X46" i="1"/>
  <c r="Y47" i="1"/>
  <c r="N54" i="1"/>
  <c r="X62" i="1"/>
  <c r="Y63" i="1"/>
  <c r="Z64" i="1"/>
  <c r="L68" i="1"/>
  <c r="X78" i="1"/>
  <c r="Y79" i="1"/>
  <c r="Z80" i="1"/>
  <c r="L84" i="1"/>
  <c r="N86" i="1"/>
  <c r="X94" i="1"/>
  <c r="Y95" i="1"/>
  <c r="Z96" i="1"/>
  <c r="N102" i="1"/>
  <c r="X110" i="1"/>
  <c r="Y111" i="1"/>
  <c r="L116" i="1"/>
  <c r="N118" i="1"/>
  <c r="X126" i="1"/>
  <c r="Y127" i="1"/>
  <c r="Z128" i="1"/>
  <c r="L132" i="1"/>
  <c r="N134" i="1"/>
  <c r="X142" i="1"/>
  <c r="Y143" i="1"/>
  <c r="L148" i="1"/>
  <c r="M20" i="1"/>
  <c r="M36" i="1"/>
  <c r="L51" i="1"/>
  <c r="L67" i="1"/>
  <c r="M68" i="1"/>
  <c r="L83" i="1"/>
  <c r="M84" i="1"/>
  <c r="L99" i="1"/>
  <c r="M100" i="1"/>
  <c r="L115" i="1"/>
  <c r="M116" i="1"/>
  <c r="L131" i="1"/>
  <c r="L147" i="1"/>
  <c r="M148" i="1"/>
  <c r="N20" i="1"/>
  <c r="X28" i="1"/>
  <c r="Y29" i="1"/>
  <c r="N36" i="1"/>
  <c r="P38" i="1"/>
  <c r="M51" i="1"/>
  <c r="X60" i="1"/>
  <c r="M67" i="1"/>
  <c r="N68" i="1"/>
  <c r="X76" i="1"/>
  <c r="M83" i="1"/>
  <c r="N84" i="1"/>
  <c r="X92" i="1"/>
  <c r="M99" i="1"/>
  <c r="N100" i="1"/>
  <c r="X108" i="1"/>
  <c r="M115" i="1"/>
  <c r="N116" i="1"/>
  <c r="X124" i="1"/>
  <c r="M131" i="1"/>
  <c r="N132" i="1"/>
  <c r="M147" i="1"/>
  <c r="N148" i="1"/>
  <c r="O36" i="1"/>
  <c r="N51" i="1"/>
  <c r="Y60" i="1"/>
  <c r="N67" i="1"/>
  <c r="O68" i="1"/>
  <c r="Y76" i="1"/>
  <c r="N83" i="1"/>
  <c r="O84" i="1"/>
  <c r="Y92" i="1"/>
  <c r="N99" i="1"/>
  <c r="O100" i="1"/>
  <c r="Y108" i="1"/>
  <c r="N115" i="1"/>
  <c r="O116" i="1"/>
  <c r="Y124" i="1"/>
  <c r="N131" i="1"/>
  <c r="O132" i="1"/>
  <c r="N147" i="1"/>
  <c r="O148" i="1"/>
  <c r="N50" i="1"/>
  <c r="O51" i="1"/>
  <c r="Y59" i="1"/>
  <c r="Z60" i="1"/>
  <c r="L64" i="1"/>
  <c r="N66" i="1"/>
  <c r="O67" i="1"/>
  <c r="Y75" i="1"/>
  <c r="Z76" i="1"/>
  <c r="L80" i="1"/>
  <c r="N82" i="1"/>
  <c r="O83" i="1"/>
  <c r="Y91" i="1"/>
  <c r="Z92" i="1"/>
  <c r="L96" i="1"/>
  <c r="N98" i="1"/>
  <c r="O99" i="1"/>
  <c r="Y107" i="1"/>
  <c r="Z108" i="1"/>
  <c r="L112" i="1"/>
  <c r="N114" i="1"/>
  <c r="O115" i="1"/>
  <c r="Y123" i="1"/>
  <c r="Z124" i="1"/>
  <c r="L128" i="1"/>
  <c r="N130" i="1"/>
  <c r="O131" i="1"/>
  <c r="O147" i="1"/>
  <c r="L32" i="1"/>
  <c r="M32" i="1"/>
  <c r="M64" i="1"/>
  <c r="M80" i="1"/>
  <c r="P83" i="1"/>
  <c r="M96" i="1"/>
  <c r="M112" i="1"/>
  <c r="M128" i="1"/>
  <c r="M144" i="1"/>
  <c r="L46" i="1"/>
  <c r="M47" i="1"/>
  <c r="P50" i="1"/>
  <c r="L62" i="1"/>
  <c r="M63" i="1"/>
  <c r="N64" i="1"/>
  <c r="L78" i="1"/>
  <c r="M79" i="1"/>
  <c r="N80" i="1"/>
  <c r="L94" i="1"/>
  <c r="M95" i="1"/>
  <c r="N96" i="1"/>
  <c r="L110" i="1"/>
  <c r="M111" i="1"/>
  <c r="N112" i="1"/>
  <c r="L126" i="1"/>
  <c r="M127" i="1"/>
  <c r="N128" i="1"/>
  <c r="L142" i="1"/>
  <c r="M143" i="1"/>
  <c r="M46" i="1"/>
  <c r="N47" i="1"/>
  <c r="M62" i="1"/>
  <c r="N63" i="1"/>
  <c r="O64" i="1"/>
  <c r="M78" i="1"/>
  <c r="N79" i="1"/>
  <c r="O80" i="1"/>
  <c r="M94" i="1"/>
  <c r="N95" i="1"/>
  <c r="O96" i="1"/>
  <c r="M110" i="1"/>
  <c r="N111" i="1"/>
  <c r="O112" i="1"/>
  <c r="M126" i="1"/>
  <c r="N127" i="1"/>
  <c r="O128" i="1"/>
  <c r="Z137" i="1"/>
  <c r="M142" i="1"/>
  <c r="N143" i="1"/>
  <c r="N46" i="1"/>
  <c r="O47" i="1"/>
  <c r="X54" i="1"/>
  <c r="L60" i="1"/>
  <c r="N62" i="1"/>
  <c r="O63" i="1"/>
  <c r="X70" i="1"/>
  <c r="L76" i="1"/>
  <c r="N78" i="1"/>
  <c r="O79" i="1"/>
  <c r="L92" i="1"/>
  <c r="N94" i="1"/>
  <c r="O95" i="1"/>
  <c r="X102" i="1"/>
  <c r="L108" i="1"/>
  <c r="N110" i="1"/>
  <c r="O111" i="1"/>
  <c r="P112" i="1"/>
  <c r="X118" i="1"/>
  <c r="L124" i="1"/>
  <c r="N126" i="1"/>
  <c r="O127" i="1"/>
  <c r="X134" i="1"/>
  <c r="L140" i="1"/>
  <c r="N142" i="1"/>
  <c r="O143" i="1"/>
  <c r="O46" i="1"/>
  <c r="Y54" i="1"/>
  <c r="L59" i="1"/>
  <c r="M60" i="1"/>
  <c r="O62" i="1"/>
  <c r="L75" i="1"/>
  <c r="M76" i="1"/>
  <c r="O78" i="1"/>
  <c r="Y86" i="1"/>
  <c r="L91" i="1"/>
  <c r="M92" i="1"/>
  <c r="O94" i="1"/>
  <c r="Y102" i="1"/>
  <c r="L107" i="1"/>
  <c r="O110" i="1"/>
  <c r="Y118" i="1"/>
  <c r="L123" i="1"/>
  <c r="M124" i="1"/>
  <c r="O126" i="1"/>
  <c r="Y134" i="1"/>
  <c r="L139" i="1"/>
  <c r="O142" i="1"/>
  <c r="N65" i="1" l="1"/>
  <c r="L117" i="1"/>
  <c r="M42" i="1"/>
  <c r="L81" i="1"/>
  <c r="N77" i="1"/>
  <c r="X81" i="1"/>
  <c r="L65" i="1"/>
  <c r="Y81" i="1"/>
  <c r="M65" i="1"/>
  <c r="Z81" i="1"/>
  <c r="O117" i="1"/>
  <c r="Y70" i="1"/>
  <c r="O144" i="1"/>
  <c r="N70" i="1"/>
  <c r="X73" i="1"/>
  <c r="Y97" i="1"/>
  <c r="N121" i="1"/>
  <c r="L89" i="1"/>
  <c r="M69" i="1"/>
  <c r="L105" i="1"/>
  <c r="M86" i="1"/>
  <c r="O140" i="1"/>
  <c r="Z97" i="1"/>
  <c r="O121" i="1"/>
  <c r="M89" i="1"/>
  <c r="N69" i="1"/>
  <c r="M105" i="1"/>
  <c r="L37" i="1"/>
  <c r="Y65" i="1"/>
  <c r="Y52" i="1"/>
  <c r="X117" i="1"/>
  <c r="M48" i="1"/>
  <c r="L69" i="1"/>
  <c r="Z112" i="1"/>
  <c r="L97" i="1"/>
  <c r="X121" i="1"/>
  <c r="N89" i="1"/>
  <c r="N105" i="1"/>
  <c r="X145" i="1"/>
  <c r="Z65" i="1"/>
  <c r="M117" i="1"/>
  <c r="N117" i="1"/>
  <c r="M81" i="1"/>
  <c r="O77" i="1"/>
  <c r="L121" i="1"/>
  <c r="Z69" i="1"/>
  <c r="X97" i="1"/>
  <c r="M121" i="1"/>
  <c r="Z120" i="1"/>
  <c r="Y140" i="1"/>
  <c r="N144" i="1"/>
  <c r="M97" i="1"/>
  <c r="O89" i="1"/>
  <c r="O105" i="1"/>
  <c r="Y145" i="1"/>
  <c r="P91" i="1"/>
  <c r="P27" i="1"/>
  <c r="P142" i="1"/>
  <c r="P126" i="1"/>
  <c r="P119" i="1"/>
  <c r="P62" i="1"/>
  <c r="P86" i="1"/>
  <c r="P85" i="1"/>
  <c r="P130" i="1"/>
  <c r="P120" i="1"/>
  <c r="P129" i="1"/>
  <c r="P33" i="1"/>
  <c r="P67" i="1"/>
  <c r="P123" i="1"/>
  <c r="P47" i="1"/>
  <c r="P68" i="1"/>
  <c r="P145" i="1"/>
  <c r="P106" i="1"/>
  <c r="P17" i="1"/>
  <c r="P45" i="1"/>
  <c r="P110" i="1"/>
  <c r="P100" i="1"/>
  <c r="P97" i="1"/>
  <c r="P122" i="1"/>
  <c r="P79" i="1"/>
  <c r="P36" i="1"/>
  <c r="P134" i="1"/>
  <c r="P70" i="1"/>
  <c r="P138" i="1"/>
  <c r="P98" i="1"/>
  <c r="P92" i="1"/>
  <c r="P107" i="1"/>
  <c r="P88" i="1"/>
  <c r="P87" i="1"/>
  <c r="P82" i="1"/>
  <c r="P131" i="1"/>
  <c r="P32" i="1"/>
  <c r="P80" i="1"/>
  <c r="P115" i="1"/>
  <c r="P124" i="1"/>
  <c r="P60" i="1"/>
  <c r="P137" i="1"/>
  <c r="P11" i="1"/>
  <c r="P48" i="1"/>
  <c r="P147" i="1"/>
  <c r="P96" i="1"/>
  <c r="P117" i="1"/>
  <c r="P76" i="1"/>
  <c r="P19" i="1"/>
  <c r="P73" i="1"/>
  <c r="P128" i="1"/>
  <c r="P136" i="1"/>
  <c r="P61" i="1"/>
  <c r="P31" i="1"/>
  <c r="P114" i="1"/>
  <c r="P58" i="1"/>
  <c r="P121" i="1"/>
  <c r="P56" i="1"/>
  <c r="Q4" i="1"/>
  <c r="Q30" i="1" s="1"/>
  <c r="P57" i="1"/>
  <c r="P103" i="1"/>
  <c r="P101" i="1"/>
  <c r="P72" i="1"/>
  <c r="P74" i="1"/>
  <c r="P90" i="1"/>
  <c r="P20" i="1"/>
  <c r="P89" i="1"/>
  <c r="P148" i="1"/>
  <c r="P133" i="1"/>
  <c r="P14" i="1"/>
  <c r="P111" i="1"/>
  <c r="P99" i="1"/>
  <c r="P118" i="1"/>
  <c r="P54" i="1"/>
  <c r="P22" i="1"/>
  <c r="P71" i="1"/>
  <c r="P55" i="1"/>
  <c r="P53" i="1"/>
  <c r="P93" i="1"/>
  <c r="P116" i="1"/>
  <c r="P139" i="1"/>
  <c r="P49" i="1"/>
  <c r="P127" i="1"/>
  <c r="P66" i="1"/>
  <c r="P84" i="1"/>
  <c r="P108" i="1"/>
  <c r="P35" i="1"/>
  <c r="P104" i="1"/>
  <c r="P43" i="1"/>
  <c r="P146" i="1"/>
  <c r="P113" i="1"/>
  <c r="P102" i="1"/>
  <c r="P143" i="1"/>
  <c r="P95" i="1"/>
  <c r="P94" i="1"/>
  <c r="P51" i="1"/>
  <c r="P144" i="1"/>
  <c r="P25" i="1"/>
  <c r="P46" i="1"/>
  <c r="P63" i="1"/>
  <c r="P64" i="1"/>
  <c r="P29" i="1"/>
  <c r="P59" i="1"/>
  <c r="P109" i="1"/>
  <c r="P78" i="1"/>
  <c r="P28" i="1"/>
  <c r="N42" i="1"/>
  <c r="O42" i="1"/>
  <c r="Y73" i="1"/>
  <c r="P23" i="1"/>
  <c r="P30" i="1"/>
  <c r="O30" i="1"/>
  <c r="N30" i="1"/>
  <c r="X30" i="1"/>
  <c r="M30" i="1"/>
  <c r="Y39" i="1"/>
  <c r="P140" i="1"/>
  <c r="P81" i="1"/>
  <c r="M39" i="1"/>
  <c r="Z44" i="1"/>
  <c r="O44" i="1"/>
  <c r="L44" i="1"/>
  <c r="N44" i="1"/>
  <c r="M44" i="1"/>
  <c r="O52" i="1"/>
  <c r="Y121" i="1"/>
  <c r="Q81" i="1"/>
  <c r="X69" i="1"/>
  <c r="O135" i="1"/>
  <c r="M61" i="1"/>
  <c r="N39" i="1"/>
  <c r="O39" i="1"/>
  <c r="Z61" i="1"/>
  <c r="P69" i="1"/>
  <c r="Z42" i="1"/>
  <c r="L61" i="1"/>
  <c r="M52" i="1"/>
  <c r="Z132" i="1"/>
  <c r="P77" i="1"/>
  <c r="Y69" i="1"/>
  <c r="P135" i="1"/>
  <c r="Y30" i="1"/>
  <c r="N61" i="1"/>
  <c r="X125" i="1"/>
  <c r="P141" i="1"/>
  <c r="P39" i="1"/>
  <c r="N108" i="1"/>
  <c r="O108" i="1"/>
  <c r="Q52" i="1"/>
  <c r="X61" i="1"/>
  <c r="Y44" i="1"/>
  <c r="Q77" i="1"/>
  <c r="Z30" i="1"/>
  <c r="O61" i="1"/>
  <c r="Y125" i="1"/>
  <c r="X141" i="1"/>
  <c r="X39" i="1"/>
  <c r="O65" i="1"/>
  <c r="P65" i="1"/>
  <c r="X77" i="1"/>
  <c r="L30" i="1"/>
  <c r="L73" i="1"/>
  <c r="Z125" i="1"/>
  <c r="Y141" i="1"/>
  <c r="N23" i="1"/>
  <c r="X37" i="1"/>
  <c r="Y37" i="1"/>
  <c r="Z86" i="1"/>
  <c r="O86" i="1"/>
  <c r="L86" i="1"/>
  <c r="X42" i="1"/>
  <c r="Y42" i="1"/>
  <c r="P125" i="1"/>
  <c r="O48" i="1"/>
  <c r="L144" i="1"/>
  <c r="P52" i="1"/>
  <c r="L100" i="1"/>
  <c r="Z48" i="1"/>
  <c r="Y77" i="1"/>
  <c r="Q105" i="1"/>
  <c r="M73" i="1"/>
  <c r="L125" i="1"/>
  <c r="Z141" i="1"/>
  <c r="N37" i="1"/>
  <c r="O23" i="1"/>
  <c r="N52" i="1"/>
  <c r="N81" i="1"/>
  <c r="Z140" i="1"/>
  <c r="Z52" i="1"/>
  <c r="Q56" i="1"/>
  <c r="Z77" i="1"/>
  <c r="Q127" i="1"/>
  <c r="N73" i="1"/>
  <c r="M125" i="1"/>
  <c r="L141" i="1"/>
  <c r="O37" i="1"/>
  <c r="X23" i="1"/>
  <c r="Z70" i="1"/>
  <c r="O70" i="1"/>
  <c r="L70" i="1"/>
  <c r="P42" i="1"/>
  <c r="Z39" i="1"/>
  <c r="L52" i="1"/>
  <c r="M140" i="1"/>
  <c r="N48" i="1"/>
  <c r="P132" i="1"/>
  <c r="Z144" i="1"/>
  <c r="Q117" i="1"/>
  <c r="Q143" i="1"/>
  <c r="L77" i="1"/>
  <c r="L120" i="1"/>
  <c r="O73" i="1"/>
  <c r="N125" i="1"/>
  <c r="M141" i="1"/>
  <c r="P37" i="1"/>
  <c r="Y23" i="1"/>
  <c r="Y132" i="1"/>
  <c r="Q48" i="1"/>
  <c r="L48" i="1"/>
  <c r="X140" i="1"/>
  <c r="M132" i="1"/>
  <c r="Y144" i="1"/>
  <c r="P44" i="1"/>
  <c r="O13" i="1"/>
  <c r="M13" i="1"/>
  <c r="Z13" i="1"/>
  <c r="L13" i="1"/>
  <c r="Y13" i="1"/>
  <c r="P13" i="1"/>
  <c r="N13" i="1"/>
  <c r="X13" i="1"/>
  <c r="Y26" i="1"/>
  <c r="P26" i="1"/>
  <c r="O26" i="1"/>
  <c r="M26" i="1"/>
  <c r="N26" i="1"/>
  <c r="L26" i="1"/>
  <c r="Z26" i="1"/>
  <c r="X26" i="1"/>
  <c r="P21" i="1"/>
  <c r="O21" i="1"/>
  <c r="N21" i="1"/>
  <c r="Z21" i="1"/>
  <c r="X21" i="1"/>
  <c r="M21" i="1"/>
  <c r="L21" i="1"/>
  <c r="Y21" i="1"/>
  <c r="Q21" i="1"/>
  <c r="L15" i="1"/>
  <c r="Z15" i="1"/>
  <c r="Y15" i="1"/>
  <c r="M15" i="1"/>
  <c r="O15" i="1"/>
  <c r="X15" i="1"/>
  <c r="P15" i="1"/>
  <c r="N15" i="1"/>
  <c r="Q24" i="1"/>
  <c r="N24" i="1"/>
  <c r="M24" i="1"/>
  <c r="Y24" i="1"/>
  <c r="P24" i="1"/>
  <c r="Z24" i="1"/>
  <c r="X24" i="1"/>
  <c r="O24" i="1"/>
  <c r="L24" i="1"/>
  <c r="O18" i="1"/>
  <c r="Z18" i="1"/>
  <c r="Y18" i="1"/>
  <c r="X18" i="1"/>
  <c r="N18" i="1"/>
  <c r="L18" i="1"/>
  <c r="P18" i="1"/>
  <c r="M18" i="1"/>
  <c r="Q18" i="1"/>
  <c r="R4" i="1"/>
  <c r="R24" i="1" s="1"/>
  <c r="Q137" i="1"/>
  <c r="Q138" i="1"/>
  <c r="Q43" i="1"/>
  <c r="Q140" i="1"/>
  <c r="Q124" i="1"/>
  <c r="Q92" i="1"/>
  <c r="Q76" i="1"/>
  <c r="Q32" i="1"/>
  <c r="Q19" i="1"/>
  <c r="Q31" i="1"/>
  <c r="Q135" i="1"/>
  <c r="Q113" i="1"/>
  <c r="P34" i="1"/>
  <c r="O34" i="1"/>
  <c r="N34" i="1"/>
  <c r="M34" i="1"/>
  <c r="L34" i="1"/>
  <c r="Z34" i="1"/>
  <c r="Y34" i="1"/>
  <c r="X34" i="1"/>
  <c r="R34" i="1"/>
  <c r="Q95" i="1"/>
  <c r="Q41" i="1"/>
  <c r="Q34" i="1" l="1"/>
  <c r="Q69" i="1"/>
  <c r="Q108" i="1"/>
  <c r="Q136" i="1"/>
  <c r="Q79" i="1"/>
  <c r="Q71" i="1"/>
  <c r="P5" i="1"/>
  <c r="Q11" i="1"/>
  <c r="Q85" i="1"/>
  <c r="Q59" i="1"/>
  <c r="Q15" i="1"/>
  <c r="Q94" i="1"/>
  <c r="L5" i="1"/>
  <c r="Q78" i="1"/>
  <c r="Q126" i="1"/>
  <c r="Q139" i="1"/>
  <c r="Q103" i="1"/>
  <c r="Q46" i="1"/>
  <c r="Q75" i="1"/>
  <c r="Z10" i="1"/>
  <c r="R21" i="1"/>
  <c r="Q110" i="1"/>
  <c r="Q65" i="1"/>
  <c r="Q142" i="1"/>
  <c r="Q13" i="1"/>
  <c r="Q42" i="1"/>
  <c r="Q14" i="1"/>
  <c r="Q49" i="1"/>
  <c r="Q146" i="1"/>
  <c r="Q104" i="1"/>
  <c r="Q35" i="1"/>
  <c r="Q29" i="1"/>
  <c r="Q70" i="1"/>
  <c r="Q134" i="1"/>
  <c r="Q84" i="1"/>
  <c r="Q51" i="1"/>
  <c r="Q50" i="1"/>
  <c r="Q114" i="1"/>
  <c r="Q66" i="1"/>
  <c r="Q82" i="1"/>
  <c r="Q132" i="1"/>
  <c r="Q119" i="1"/>
  <c r="Q118" i="1"/>
  <c r="Q147" i="1"/>
  <c r="Q53" i="1"/>
  <c r="Q63" i="1"/>
  <c r="Q22" i="1"/>
  <c r="Q64" i="1"/>
  <c r="Q130" i="1"/>
  <c r="Q36" i="1"/>
  <c r="Q88" i="1"/>
  <c r="Q38" i="1"/>
  <c r="Q27" i="1"/>
  <c r="Q20" i="1"/>
  <c r="Q101" i="1"/>
  <c r="Q121" i="1"/>
  <c r="Q58" i="1"/>
  <c r="Q86" i="1"/>
  <c r="Q115" i="1"/>
  <c r="Q72" i="1"/>
  <c r="Q12" i="1"/>
  <c r="Q61" i="1"/>
  <c r="Q100" i="1"/>
  <c r="Q112" i="1"/>
  <c r="Q131" i="1"/>
  <c r="Q25" i="1"/>
  <c r="Q54" i="1"/>
  <c r="Q98" i="1"/>
  <c r="Q68" i="1"/>
  <c r="Q67" i="1"/>
  <c r="Q102" i="1"/>
  <c r="Q23" i="1"/>
  <c r="Q128" i="1"/>
  <c r="Q148" i="1"/>
  <c r="Q47" i="1"/>
  <c r="Q73" i="1"/>
  <c r="Q111" i="1"/>
  <c r="Q93" i="1"/>
  <c r="Q116" i="1"/>
  <c r="Q80" i="1"/>
  <c r="Q83" i="1"/>
  <c r="Q96" i="1"/>
  <c r="Q120" i="1"/>
  <c r="Q99" i="1"/>
  <c r="Q33" i="1"/>
  <c r="Q37" i="1"/>
  <c r="Q97" i="1"/>
  <c r="Q125" i="1"/>
  <c r="Q123" i="1"/>
  <c r="Q129" i="1"/>
  <c r="Q16" i="1"/>
  <c r="Q87" i="1"/>
  <c r="Q90" i="1"/>
  <c r="R15" i="1"/>
  <c r="R26" i="1"/>
  <c r="Q62" i="1"/>
  <c r="Q91" i="1"/>
  <c r="Q145" i="1"/>
  <c r="Q107" i="1"/>
  <c r="Q144" i="1"/>
  <c r="Q74" i="1"/>
  <c r="Q28" i="1"/>
  <c r="Q57" i="1"/>
  <c r="Q141" i="1"/>
  <c r="Q39" i="1"/>
  <c r="Q44" i="1"/>
  <c r="Q106" i="1"/>
  <c r="Q26" i="1"/>
  <c r="Q109" i="1"/>
  <c r="Q17" i="1"/>
  <c r="Q55" i="1"/>
  <c r="Q133" i="1"/>
  <c r="Q45" i="1"/>
  <c r="Q60" i="1"/>
  <c r="Q122" i="1"/>
  <c r="Q40" i="1"/>
  <c r="Q89" i="1"/>
  <c r="L6" i="1"/>
  <c r="X10" i="1"/>
  <c r="O6" i="1"/>
  <c r="M5" i="1"/>
  <c r="Y10" i="1"/>
  <c r="R18" i="1"/>
  <c r="N6" i="1"/>
  <c r="O5" i="1"/>
  <c r="M6" i="1"/>
  <c r="M7" i="1" s="1"/>
  <c r="P6" i="1"/>
  <c r="N5" i="1"/>
  <c r="R136" i="1"/>
  <c r="S4" i="1"/>
  <c r="R137" i="1"/>
  <c r="R138" i="1"/>
  <c r="R122" i="1"/>
  <c r="R106" i="1"/>
  <c r="R90" i="1"/>
  <c r="R74" i="1"/>
  <c r="R139" i="1"/>
  <c r="R123" i="1"/>
  <c r="R107" i="1"/>
  <c r="R91" i="1"/>
  <c r="R75" i="1"/>
  <c r="R59" i="1"/>
  <c r="R43" i="1"/>
  <c r="R140" i="1"/>
  <c r="R124" i="1"/>
  <c r="R108" i="1"/>
  <c r="R92" i="1"/>
  <c r="R76" i="1"/>
  <c r="R60" i="1"/>
  <c r="R44" i="1"/>
  <c r="R28" i="1"/>
  <c r="R29" i="1"/>
  <c r="R62" i="1"/>
  <c r="R46" i="1"/>
  <c r="R143" i="1"/>
  <c r="R127" i="1"/>
  <c r="R111" i="1"/>
  <c r="R95" i="1"/>
  <c r="R79" i="1"/>
  <c r="R63" i="1"/>
  <c r="R47" i="1"/>
  <c r="R31" i="1"/>
  <c r="R20" i="1"/>
  <c r="R19" i="1"/>
  <c r="R32" i="1"/>
  <c r="R16" i="1"/>
  <c r="R128" i="1"/>
  <c r="R87" i="1"/>
  <c r="R48" i="1"/>
  <c r="R72" i="1"/>
  <c r="R104" i="1"/>
  <c r="R98" i="1"/>
  <c r="R14" i="1"/>
  <c r="R40" i="1"/>
  <c r="R42" i="1"/>
  <c r="R101" i="1"/>
  <c r="R68" i="1"/>
  <c r="R50" i="1"/>
  <c r="R141" i="1"/>
  <c r="R133" i="1"/>
  <c r="R39" i="1"/>
  <c r="R45" i="1"/>
  <c r="R113" i="1"/>
  <c r="R135" i="1"/>
  <c r="R69" i="1"/>
  <c r="R17" i="1"/>
  <c r="R85" i="1"/>
  <c r="R116" i="1"/>
  <c r="R131" i="1"/>
  <c r="R37" i="1"/>
  <c r="R129" i="1"/>
  <c r="R71" i="1"/>
  <c r="R61" i="1"/>
  <c r="R120" i="1"/>
  <c r="R36" i="1"/>
  <c r="R126" i="1"/>
  <c r="R96" i="1"/>
  <c r="R77" i="1"/>
  <c r="R65" i="1"/>
  <c r="R93" i="1"/>
  <c r="R144" i="1"/>
  <c r="R30" i="1"/>
  <c r="R118" i="1"/>
  <c r="R66" i="1"/>
  <c r="R49" i="1"/>
  <c r="R52" i="1"/>
  <c r="R99" i="1"/>
  <c r="R23" i="1"/>
  <c r="R145" i="1"/>
  <c r="R27" i="1"/>
  <c r="R38" i="1"/>
  <c r="R84" i="1"/>
  <c r="R51" i="1"/>
  <c r="R89" i="1"/>
  <c r="R130" i="1"/>
  <c r="R142" i="1"/>
  <c r="R115" i="1"/>
  <c r="R82" i="1"/>
  <c r="R78" i="1"/>
  <c r="R70" i="1"/>
  <c r="R83" i="1"/>
  <c r="R103" i="1"/>
  <c r="R80" i="1"/>
  <c r="R57" i="1"/>
  <c r="R81" i="1"/>
  <c r="R112" i="1"/>
  <c r="R97" i="1"/>
  <c r="R94" i="1"/>
  <c r="R86" i="1"/>
  <c r="R147" i="1"/>
  <c r="R56" i="1"/>
  <c r="R100" i="1"/>
  <c r="R25" i="1"/>
  <c r="R121" i="1"/>
  <c r="R12" i="1"/>
  <c r="R22" i="1"/>
  <c r="R35" i="1"/>
  <c r="R125" i="1"/>
  <c r="R64" i="1"/>
  <c r="R117" i="1"/>
  <c r="R58" i="1"/>
  <c r="R55" i="1"/>
  <c r="R105" i="1"/>
  <c r="R11" i="1"/>
  <c r="R54" i="1"/>
  <c r="R132" i="1"/>
  <c r="R88" i="1"/>
  <c r="R67" i="1"/>
  <c r="R146" i="1"/>
  <c r="R134" i="1"/>
  <c r="R114" i="1"/>
  <c r="R33" i="1"/>
  <c r="R41" i="1"/>
  <c r="R109" i="1"/>
  <c r="R73" i="1"/>
  <c r="R119" i="1"/>
  <c r="R110" i="1"/>
  <c r="R102" i="1"/>
  <c r="R53" i="1"/>
  <c r="R148" i="1"/>
  <c r="R13" i="1"/>
  <c r="Q5" i="1" l="1"/>
  <c r="Q6" i="1"/>
  <c r="O7" i="1"/>
  <c r="P7" i="1"/>
  <c r="Q7" i="1"/>
  <c r="L7" i="1"/>
  <c r="N7" i="1"/>
  <c r="R6" i="1"/>
  <c r="R5" i="1"/>
  <c r="S136" i="1"/>
  <c r="S137" i="1"/>
  <c r="S138" i="1"/>
  <c r="S122" i="1"/>
  <c r="S106" i="1"/>
  <c r="S90" i="1"/>
  <c r="S74" i="1"/>
  <c r="T4" i="1"/>
  <c r="S139" i="1"/>
  <c r="S123" i="1"/>
  <c r="S107" i="1"/>
  <c r="S91" i="1"/>
  <c r="S75" i="1"/>
  <c r="S59" i="1"/>
  <c r="S29" i="1"/>
  <c r="S142" i="1"/>
  <c r="S126" i="1"/>
  <c r="S110" i="1"/>
  <c r="S94" i="1"/>
  <c r="S78" i="1"/>
  <c r="S62" i="1"/>
  <c r="S46" i="1"/>
  <c r="S20" i="1"/>
  <c r="S36" i="1"/>
  <c r="S28" i="1"/>
  <c r="S19" i="1"/>
  <c r="S43" i="1"/>
  <c r="S35" i="1"/>
  <c r="S39" i="1"/>
  <c r="S45" i="1"/>
  <c r="S113" i="1"/>
  <c r="S135" i="1"/>
  <c r="S69" i="1"/>
  <c r="S85" i="1"/>
  <c r="S96" i="1"/>
  <c r="S79" i="1"/>
  <c r="S86" i="1"/>
  <c r="S84" i="1"/>
  <c r="S38" i="1"/>
  <c r="S52" i="1"/>
  <c r="S99" i="1"/>
  <c r="S101" i="1"/>
  <c r="S70" i="1"/>
  <c r="S147" i="1"/>
  <c r="S31" i="1"/>
  <c r="S72" i="1"/>
  <c r="S27" i="1"/>
  <c r="S77" i="1"/>
  <c r="S65" i="1"/>
  <c r="S93" i="1"/>
  <c r="S44" i="1"/>
  <c r="S108" i="1"/>
  <c r="S50" i="1"/>
  <c r="S47" i="1"/>
  <c r="S14" i="1"/>
  <c r="S102" i="1"/>
  <c r="S103" i="1"/>
  <c r="S81" i="1"/>
  <c r="S32" i="1"/>
  <c r="S60" i="1"/>
  <c r="S67" i="1"/>
  <c r="S33" i="1"/>
  <c r="S145" i="1"/>
  <c r="S132" i="1"/>
  <c r="S97" i="1"/>
  <c r="S127" i="1"/>
  <c r="S131" i="1"/>
  <c r="S116" i="1"/>
  <c r="S37" i="1"/>
  <c r="S129" i="1"/>
  <c r="S71" i="1"/>
  <c r="S61" i="1"/>
  <c r="S30" i="1"/>
  <c r="S120" i="1"/>
  <c r="S89" i="1"/>
  <c r="S112" i="1"/>
  <c r="S49" i="1"/>
  <c r="S40" i="1"/>
  <c r="S130" i="1"/>
  <c r="S57" i="1"/>
  <c r="S124" i="1"/>
  <c r="S125" i="1"/>
  <c r="S117" i="1"/>
  <c r="S58" i="1"/>
  <c r="S128" i="1"/>
  <c r="S100" i="1"/>
  <c r="S98" i="1"/>
  <c r="S54" i="1"/>
  <c r="S55" i="1"/>
  <c r="S63" i="1"/>
  <c r="S144" i="1"/>
  <c r="S140" i="1"/>
  <c r="S68" i="1"/>
  <c r="S143" i="1"/>
  <c r="S104" i="1"/>
  <c r="S105" i="1"/>
  <c r="S22" i="1"/>
  <c r="S48" i="1"/>
  <c r="S95" i="1"/>
  <c r="S118" i="1"/>
  <c r="S148" i="1"/>
  <c r="S23" i="1"/>
  <c r="S16" i="1"/>
  <c r="S146" i="1"/>
  <c r="S76" i="1"/>
  <c r="S42" i="1"/>
  <c r="S64" i="1"/>
  <c r="S121" i="1"/>
  <c r="S17" i="1"/>
  <c r="S87" i="1"/>
  <c r="S88" i="1"/>
  <c r="S66" i="1"/>
  <c r="S56" i="1"/>
  <c r="S25" i="1"/>
  <c r="S73" i="1"/>
  <c r="S119" i="1"/>
  <c r="S82" i="1"/>
  <c r="S109" i="1"/>
  <c r="S134" i="1"/>
  <c r="S53" i="1"/>
  <c r="S80" i="1"/>
  <c r="S92" i="1"/>
  <c r="S51" i="1"/>
  <c r="S83" i="1"/>
  <c r="S115" i="1"/>
  <c r="S114" i="1"/>
  <c r="S12" i="1"/>
  <c r="S141" i="1"/>
  <c r="S133" i="1"/>
  <c r="S41" i="1"/>
  <c r="S11" i="1"/>
  <c r="S111" i="1"/>
  <c r="S26" i="1"/>
  <c r="S15" i="1"/>
  <c r="S24" i="1"/>
  <c r="S21" i="1"/>
  <c r="S13" i="1"/>
  <c r="S34" i="1"/>
  <c r="S18" i="1"/>
  <c r="T136" i="1" l="1"/>
  <c r="T137" i="1"/>
  <c r="T138" i="1"/>
  <c r="T122" i="1"/>
  <c r="T106" i="1"/>
  <c r="T90" i="1"/>
  <c r="T74" i="1"/>
  <c r="T139" i="1"/>
  <c r="T123" i="1"/>
  <c r="T107" i="1"/>
  <c r="T91" i="1"/>
  <c r="T75" i="1"/>
  <c r="T59" i="1"/>
  <c r="T43" i="1"/>
  <c r="T142" i="1"/>
  <c r="T126" i="1"/>
  <c r="T110" i="1"/>
  <c r="T94" i="1"/>
  <c r="T78" i="1"/>
  <c r="T62" i="1"/>
  <c r="T46" i="1"/>
  <c r="T143" i="1"/>
  <c r="T127" i="1"/>
  <c r="T111" i="1"/>
  <c r="T95" i="1"/>
  <c r="T79" i="1"/>
  <c r="T63" i="1"/>
  <c r="T47" i="1"/>
  <c r="T31" i="1"/>
  <c r="T20" i="1"/>
  <c r="T16" i="1"/>
  <c r="T19" i="1"/>
  <c r="T36" i="1"/>
  <c r="T28" i="1"/>
  <c r="T35" i="1"/>
  <c r="T29" i="1"/>
  <c r="T77" i="1"/>
  <c r="T81" i="1"/>
  <c r="T93" i="1"/>
  <c r="T97" i="1"/>
  <c r="T103" i="1"/>
  <c r="T48" i="1"/>
  <c r="T12" i="1"/>
  <c r="T109" i="1"/>
  <c r="T73" i="1"/>
  <c r="T65" i="1"/>
  <c r="T112" i="1"/>
  <c r="T17" i="1"/>
  <c r="T83" i="1"/>
  <c r="T51" i="1"/>
  <c r="T115" i="1"/>
  <c r="T131" i="1"/>
  <c r="T80" i="1"/>
  <c r="T140" i="1"/>
  <c r="T60" i="1"/>
  <c r="T57" i="1"/>
  <c r="T86" i="1"/>
  <c r="T58" i="1"/>
  <c r="T108" i="1"/>
  <c r="T39" i="1"/>
  <c r="T32" i="1"/>
  <c r="T23" i="1"/>
  <c r="T27" i="1"/>
  <c r="T37" i="1"/>
  <c r="T114" i="1"/>
  <c r="T71" i="1"/>
  <c r="T61" i="1"/>
  <c r="T30" i="1"/>
  <c r="T120" i="1"/>
  <c r="T89" i="1"/>
  <c r="T118" i="1"/>
  <c r="T117" i="1"/>
  <c r="T22" i="1"/>
  <c r="T119" i="1"/>
  <c r="T124" i="1"/>
  <c r="T102" i="1"/>
  <c r="T67" i="1"/>
  <c r="T84" i="1"/>
  <c r="T45" i="1"/>
  <c r="T85" i="1"/>
  <c r="T92" i="1"/>
  <c r="T40" i="1"/>
  <c r="T98" i="1"/>
  <c r="T125" i="1"/>
  <c r="T72" i="1"/>
  <c r="T50" i="1"/>
  <c r="T105" i="1"/>
  <c r="T128" i="1"/>
  <c r="T54" i="1"/>
  <c r="T68" i="1"/>
  <c r="T100" i="1"/>
  <c r="T132" i="1"/>
  <c r="T76" i="1"/>
  <c r="T134" i="1"/>
  <c r="T121" i="1"/>
  <c r="T11" i="1"/>
  <c r="T113" i="1"/>
  <c r="T53" i="1"/>
  <c r="T87" i="1"/>
  <c r="T88" i="1"/>
  <c r="T99" i="1"/>
  <c r="T42" i="1"/>
  <c r="T101" i="1"/>
  <c r="T49" i="1"/>
  <c r="T55" i="1"/>
  <c r="T130" i="1"/>
  <c r="T146" i="1"/>
  <c r="T56" i="1"/>
  <c r="T96" i="1"/>
  <c r="T82" i="1"/>
  <c r="T25" i="1"/>
  <c r="T64" i="1"/>
  <c r="T129" i="1"/>
  <c r="T52" i="1"/>
  <c r="T135" i="1"/>
  <c r="T69" i="1"/>
  <c r="T141" i="1"/>
  <c r="T145" i="1"/>
  <c r="T133" i="1"/>
  <c r="T41" i="1"/>
  <c r="T66" i="1"/>
  <c r="T147" i="1"/>
  <c r="T144" i="1"/>
  <c r="T44" i="1"/>
  <c r="T70" i="1"/>
  <c r="T148" i="1"/>
  <c r="T33" i="1"/>
  <c r="T38" i="1"/>
  <c r="T104" i="1"/>
  <c r="T116" i="1"/>
  <c r="T14" i="1"/>
  <c r="T21" i="1"/>
  <c r="T13" i="1"/>
  <c r="T15" i="1"/>
  <c r="T18" i="1"/>
  <c r="T34" i="1"/>
  <c r="T26" i="1"/>
  <c r="T24" i="1"/>
  <c r="S5" i="1"/>
  <c r="S6" i="1"/>
  <c r="R7" i="1"/>
  <c r="S7" i="1" l="1"/>
  <c r="T6" i="1"/>
  <c r="T5" i="1"/>
  <c r="T7" i="1" l="1"/>
</calcChain>
</file>

<file path=xl/sharedStrings.xml><?xml version="1.0" encoding="utf-8"?>
<sst xmlns="http://schemas.openxmlformats.org/spreadsheetml/2006/main" count="21" uniqueCount="19">
  <si>
    <t>Inf</t>
  </si>
  <si>
    <t>IsCorrect</t>
  </si>
  <si>
    <t>Panel#</t>
  </si>
  <si>
    <t>min</t>
  </si>
  <si>
    <t>day</t>
  </si>
  <si>
    <t>hour</t>
  </si>
  <si>
    <t>sec</t>
  </si>
  <si>
    <t>Ave:</t>
  </si>
  <si>
    <t>delay(sec)</t>
  </si>
  <si>
    <t>Actual delay (sec)</t>
  </si>
  <si>
    <t>Copy and paste the result csv data below:</t>
  </si>
  <si>
    <t>Delay Th (sec):</t>
  </si>
  <si>
    <t>Correct touch num:</t>
  </si>
  <si>
    <t>Incorrect touch num:</t>
  </si>
  <si>
    <t>%Correct:</t>
  </si>
  <si>
    <t>Trial#</t>
  </si>
  <si>
    <t>monyh</t>
  </si>
  <si>
    <t>year</t>
  </si>
  <si>
    <t>The results of the selected trials will be shown as red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</si>
</sst>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9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52DB-F191-43A1-9848-BF5D1B6A7394}">
  <dimension ref="A2:Z240"/>
  <sheetViews>
    <sheetView tabSelected="1" workbookViewId="0">
      <selection activeCell="G4" sqref="G4"/>
    </sheetView>
  </sheetViews>
  <sheetFormatPr defaultRowHeight="14.5" x14ac:dyDescent="0.35"/>
  <cols>
    <col min="10" max="10" width="9.81640625" style="1" bestFit="1" customWidth="1"/>
    <col min="11" max="11" width="19.90625" style="1" customWidth="1"/>
    <col min="12" max="20" width="5.08984375" style="1" customWidth="1"/>
    <col min="21" max="21" width="5" style="1" customWidth="1"/>
    <col min="23" max="23" width="13.54296875" style="1" customWidth="1"/>
    <col min="24" max="26" width="8.7265625" style="1"/>
  </cols>
  <sheetData>
    <row r="2" spans="1:26" x14ac:dyDescent="0.35">
      <c r="A2" s="7" t="s">
        <v>10</v>
      </c>
      <c r="K2" s="7" t="s">
        <v>18</v>
      </c>
    </row>
    <row r="4" spans="1:26" x14ac:dyDescent="0.35">
      <c r="K4" s="4" t="s">
        <v>11</v>
      </c>
      <c r="L4" s="4">
        <v>10</v>
      </c>
      <c r="M4" s="4">
        <f>L4+5</f>
        <v>15</v>
      </c>
      <c r="N4" s="4">
        <f t="shared" ref="N4:T4" si="0">M4+5</f>
        <v>20</v>
      </c>
      <c r="O4" s="4">
        <f t="shared" si="0"/>
        <v>25</v>
      </c>
      <c r="P4" s="4">
        <f t="shared" si="0"/>
        <v>30</v>
      </c>
      <c r="Q4" s="4">
        <f t="shared" si="0"/>
        <v>35</v>
      </c>
      <c r="R4" s="4">
        <f t="shared" si="0"/>
        <v>40</v>
      </c>
      <c r="S4" s="4">
        <f t="shared" si="0"/>
        <v>45</v>
      </c>
      <c r="T4" s="4">
        <f t="shared" si="0"/>
        <v>50</v>
      </c>
      <c r="U4" s="4" t="s">
        <v>0</v>
      </c>
    </row>
    <row r="5" spans="1:26" x14ac:dyDescent="0.35">
      <c r="A5" s="7"/>
      <c r="B5" s="1"/>
      <c r="C5" s="1"/>
      <c r="D5" s="1"/>
      <c r="E5" s="1"/>
      <c r="F5" s="1"/>
      <c r="G5" s="1"/>
      <c r="H5" s="1"/>
      <c r="I5" s="1"/>
      <c r="K5" s="4" t="s">
        <v>12</v>
      </c>
      <c r="L5" s="4">
        <f t="shared" ref="L5:U5" si="1">COUNTIF(L11:L1000,1)</f>
        <v>13</v>
      </c>
      <c r="M5" s="4">
        <f t="shared" si="1"/>
        <v>63</v>
      </c>
      <c r="N5" s="4">
        <f t="shared" si="1"/>
        <v>73</v>
      </c>
      <c r="O5" s="4">
        <f t="shared" si="1"/>
        <v>73</v>
      </c>
      <c r="P5" s="4">
        <f t="shared" si="1"/>
        <v>74</v>
      </c>
      <c r="Q5" s="4">
        <f t="shared" si="1"/>
        <v>76</v>
      </c>
      <c r="R5" s="4">
        <f t="shared" si="1"/>
        <v>76</v>
      </c>
      <c r="S5" s="4">
        <f t="shared" si="1"/>
        <v>77</v>
      </c>
      <c r="T5" s="4">
        <f t="shared" si="1"/>
        <v>77</v>
      </c>
      <c r="U5" s="4">
        <f t="shared" si="1"/>
        <v>79</v>
      </c>
    </row>
    <row r="6" spans="1:26" x14ac:dyDescent="0.35">
      <c r="A6" s="1"/>
      <c r="B6" s="1"/>
      <c r="C6" s="1"/>
      <c r="D6" s="1"/>
      <c r="E6" s="1"/>
      <c r="F6" s="1"/>
      <c r="G6" s="1"/>
      <c r="H6" s="1"/>
      <c r="I6" s="1"/>
      <c r="K6" s="4" t="s">
        <v>13</v>
      </c>
      <c r="L6" s="4">
        <f t="shared" ref="L6:U6" si="2">COUNTIF(L11:L1000,0)</f>
        <v>9</v>
      </c>
      <c r="M6" s="4">
        <f t="shared" si="2"/>
        <v>40</v>
      </c>
      <c r="N6" s="4">
        <f t="shared" si="2"/>
        <v>46</v>
      </c>
      <c r="O6" s="4">
        <f t="shared" si="2"/>
        <v>47</v>
      </c>
      <c r="P6" s="4">
        <f t="shared" si="2"/>
        <v>50</v>
      </c>
      <c r="Q6" s="4">
        <f t="shared" si="2"/>
        <v>50</v>
      </c>
      <c r="R6" s="4">
        <f t="shared" si="2"/>
        <v>52</v>
      </c>
      <c r="S6" s="4">
        <f t="shared" si="2"/>
        <v>54</v>
      </c>
      <c r="T6" s="4">
        <f t="shared" si="2"/>
        <v>55</v>
      </c>
      <c r="U6" s="4">
        <f t="shared" si="2"/>
        <v>59</v>
      </c>
    </row>
    <row r="7" spans="1:26" x14ac:dyDescent="0.35">
      <c r="B7" s="1"/>
      <c r="C7" s="1"/>
      <c r="D7" s="1"/>
      <c r="E7" s="1"/>
      <c r="F7" s="1"/>
      <c r="G7" s="1"/>
      <c r="H7" s="1"/>
      <c r="I7" s="1"/>
      <c r="K7" s="4" t="s">
        <v>14</v>
      </c>
      <c r="L7" s="4">
        <f>L5/(L5+L6)*100</f>
        <v>59.090909090909093</v>
      </c>
      <c r="M7" s="4">
        <f t="shared" ref="M7:T7" si="3">M5/(M5+M6)*100</f>
        <v>61.165048543689316</v>
      </c>
      <c r="N7" s="4">
        <f t="shared" si="3"/>
        <v>61.344537815126053</v>
      </c>
      <c r="O7" s="4">
        <f t="shared" si="3"/>
        <v>60.833333333333329</v>
      </c>
      <c r="P7" s="4">
        <f t="shared" si="3"/>
        <v>59.677419354838712</v>
      </c>
      <c r="Q7" s="4">
        <f t="shared" si="3"/>
        <v>60.317460317460316</v>
      </c>
      <c r="R7" s="4">
        <f t="shared" si="3"/>
        <v>59.375</v>
      </c>
      <c r="S7" s="4">
        <f t="shared" si="3"/>
        <v>58.778625954198475</v>
      </c>
      <c r="T7" s="4">
        <f t="shared" si="3"/>
        <v>58.333333333333336</v>
      </c>
      <c r="U7" s="4">
        <f>U5/(U5+U6)*100</f>
        <v>57.246376811594203</v>
      </c>
      <c r="W7" s="4" t="s">
        <v>9</v>
      </c>
    </row>
    <row r="8" spans="1:26" x14ac:dyDescent="0.35">
      <c r="A8" s="1"/>
      <c r="B8" s="1"/>
      <c r="C8" s="1"/>
      <c r="D8" s="1"/>
      <c r="E8" s="1"/>
      <c r="F8" s="1"/>
      <c r="G8" s="1"/>
      <c r="H8" s="1"/>
      <c r="I8" s="1"/>
    </row>
    <row r="9" spans="1:26" x14ac:dyDescent="0.35">
      <c r="A9" s="2" t="s">
        <v>15</v>
      </c>
      <c r="B9" s="2" t="s">
        <v>1</v>
      </c>
      <c r="C9" s="2" t="s">
        <v>2</v>
      </c>
      <c r="D9" s="2" t="s">
        <v>17</v>
      </c>
      <c r="E9" s="2" t="s">
        <v>16</v>
      </c>
      <c r="F9" s="2" t="s">
        <v>4</v>
      </c>
      <c r="G9" s="2" t="s">
        <v>5</v>
      </c>
      <c r="H9" s="2" t="s">
        <v>3</v>
      </c>
      <c r="I9" s="2" t="s">
        <v>6</v>
      </c>
      <c r="J9" s="1" t="s">
        <v>6</v>
      </c>
      <c r="K9" s="1" t="s">
        <v>8</v>
      </c>
      <c r="W9" s="4" t="s">
        <v>11</v>
      </c>
      <c r="X9" s="4">
        <v>10</v>
      </c>
      <c r="Y9" s="4">
        <v>15</v>
      </c>
      <c r="Z9" s="4">
        <v>20</v>
      </c>
    </row>
    <row r="10" spans="1:26" x14ac:dyDescent="0.35">
      <c r="A10">
        <v>1</v>
      </c>
      <c r="B10">
        <v>1</v>
      </c>
      <c r="C10">
        <v>0</v>
      </c>
      <c r="D10">
        <v>2025</v>
      </c>
      <c r="E10">
        <v>8</v>
      </c>
      <c r="F10">
        <v>21</v>
      </c>
      <c r="G10">
        <v>0</v>
      </c>
      <c r="H10">
        <v>0</v>
      </c>
      <c r="I10">
        <v>36.375</v>
      </c>
      <c r="J10" s="3">
        <f>F10*86400+I10+H10*60+G10*60*60</f>
        <v>1814436.375</v>
      </c>
      <c r="W10" s="6" t="s">
        <v>7</v>
      </c>
      <c r="X10" s="5">
        <f>AVERAGE(X11:X1000)</f>
        <v>9.0937727272870355</v>
      </c>
      <c r="Y10" s="5">
        <f>AVERAGE(Y11:Y1000)</f>
        <v>11.357631067966915</v>
      </c>
      <c r="Z10" s="5">
        <f>AVERAGE(Z11:Z1000)</f>
        <v>12.098268907564153</v>
      </c>
    </row>
    <row r="11" spans="1:26" x14ac:dyDescent="0.35">
      <c r="A11">
        <v>2</v>
      </c>
      <c r="B11">
        <v>1</v>
      </c>
      <c r="C11">
        <v>0</v>
      </c>
      <c r="D11">
        <v>2025</v>
      </c>
      <c r="E11">
        <v>8</v>
      </c>
      <c r="F11">
        <v>21</v>
      </c>
      <c r="G11">
        <v>0</v>
      </c>
      <c r="H11">
        <v>0</v>
      </c>
      <c r="I11">
        <v>48.539000000000001</v>
      </c>
      <c r="J11" s="3">
        <f t="shared" ref="J11:J74" si="4">F11*86400+I11+H11*60+G11*60*60</f>
        <v>1814448.5390000001</v>
      </c>
      <c r="K11" s="1">
        <f>J11-J10</f>
        <v>12.164000000106171</v>
      </c>
      <c r="L11" s="1" t="str">
        <f t="shared" ref="L11:T20" si="5">IF($K11&lt;L$4,$B11,"")</f>
        <v/>
      </c>
      <c r="M11" s="1">
        <f t="shared" si="5"/>
        <v>1</v>
      </c>
      <c r="N11" s="1">
        <f t="shared" si="5"/>
        <v>1</v>
      </c>
      <c r="O11" s="1">
        <f t="shared" si="5"/>
        <v>1</v>
      </c>
      <c r="P11" s="1">
        <f t="shared" si="5"/>
        <v>1</v>
      </c>
      <c r="Q11" s="1">
        <f t="shared" si="5"/>
        <v>1</v>
      </c>
      <c r="R11" s="1">
        <f t="shared" si="5"/>
        <v>1</v>
      </c>
      <c r="S11" s="1">
        <f t="shared" si="5"/>
        <v>1</v>
      </c>
      <c r="T11" s="1">
        <f t="shared" si="5"/>
        <v>1</v>
      </c>
      <c r="U11" s="1">
        <f>B11</f>
        <v>1</v>
      </c>
      <c r="X11" s="1" t="str">
        <f t="shared" ref="X11:X42" si="6">IF($K11&lt;L$4,$K11,"")</f>
        <v/>
      </c>
      <c r="Y11" s="1">
        <f t="shared" ref="Y11:Y42" si="7">IF($K11&lt;M$4,$K11,"")</f>
        <v>12.164000000106171</v>
      </c>
      <c r="Z11" s="1">
        <f t="shared" ref="Z11:Z42" si="8">IF($K11&lt;N$4,$K11,"")</f>
        <v>12.164000000106171</v>
      </c>
    </row>
    <row r="12" spans="1:26" x14ac:dyDescent="0.35">
      <c r="A12">
        <v>3</v>
      </c>
      <c r="B12">
        <v>1</v>
      </c>
      <c r="C12">
        <v>0</v>
      </c>
      <c r="D12">
        <v>2025</v>
      </c>
      <c r="E12">
        <v>8</v>
      </c>
      <c r="F12">
        <v>21</v>
      </c>
      <c r="G12">
        <v>0</v>
      </c>
      <c r="H12">
        <v>0</v>
      </c>
      <c r="I12">
        <v>59.273000000000003</v>
      </c>
      <c r="J12" s="3">
        <f t="shared" si="4"/>
        <v>1814459.273</v>
      </c>
      <c r="K12" s="1">
        <f t="shared" ref="K12:K75" si="9">J12-J11</f>
        <v>10.733999999938533</v>
      </c>
      <c r="L12" s="1" t="str">
        <f t="shared" si="5"/>
        <v/>
      </c>
      <c r="M12" s="1">
        <f t="shared" si="5"/>
        <v>1</v>
      </c>
      <c r="N12" s="1">
        <f t="shared" si="5"/>
        <v>1</v>
      </c>
      <c r="O12" s="1">
        <f t="shared" si="5"/>
        <v>1</v>
      </c>
      <c r="P12" s="1">
        <f t="shared" si="5"/>
        <v>1</v>
      </c>
      <c r="Q12" s="1">
        <f t="shared" si="5"/>
        <v>1</v>
      </c>
      <c r="R12" s="1">
        <f t="shared" si="5"/>
        <v>1</v>
      </c>
      <c r="S12" s="1">
        <f t="shared" si="5"/>
        <v>1</v>
      </c>
      <c r="T12" s="1">
        <f t="shared" si="5"/>
        <v>1</v>
      </c>
      <c r="U12" s="1">
        <f t="shared" ref="U12:U75" si="10">B12</f>
        <v>1</v>
      </c>
      <c r="X12" s="1" t="str">
        <f t="shared" si="6"/>
        <v/>
      </c>
      <c r="Y12" s="1">
        <f t="shared" si="7"/>
        <v>10.733999999938533</v>
      </c>
      <c r="Z12" s="1">
        <f t="shared" si="8"/>
        <v>10.733999999938533</v>
      </c>
    </row>
    <row r="13" spans="1:26" x14ac:dyDescent="0.35">
      <c r="A13">
        <v>4</v>
      </c>
      <c r="B13">
        <v>1</v>
      </c>
      <c r="C13">
        <v>0</v>
      </c>
      <c r="D13">
        <v>2025</v>
      </c>
      <c r="E13">
        <v>8</v>
      </c>
      <c r="F13">
        <v>21</v>
      </c>
      <c r="G13">
        <v>0</v>
      </c>
      <c r="H13">
        <v>1</v>
      </c>
      <c r="I13">
        <v>9.6259999999999994</v>
      </c>
      <c r="J13" s="3">
        <f t="shared" si="4"/>
        <v>1814469.6259999999</v>
      </c>
      <c r="K13" s="1">
        <f t="shared" si="9"/>
        <v>10.352999999886379</v>
      </c>
      <c r="L13" s="1" t="str">
        <f t="shared" si="5"/>
        <v/>
      </c>
      <c r="M13" s="1">
        <f t="shared" si="5"/>
        <v>1</v>
      </c>
      <c r="N13" s="1">
        <f t="shared" si="5"/>
        <v>1</v>
      </c>
      <c r="O13" s="1">
        <f t="shared" si="5"/>
        <v>1</v>
      </c>
      <c r="P13" s="1">
        <f t="shared" si="5"/>
        <v>1</v>
      </c>
      <c r="Q13" s="1">
        <f t="shared" si="5"/>
        <v>1</v>
      </c>
      <c r="R13" s="1">
        <f t="shared" si="5"/>
        <v>1</v>
      </c>
      <c r="S13" s="1">
        <f t="shared" si="5"/>
        <v>1</v>
      </c>
      <c r="T13" s="1">
        <f t="shared" si="5"/>
        <v>1</v>
      </c>
      <c r="U13" s="1">
        <f t="shared" si="10"/>
        <v>1</v>
      </c>
      <c r="X13" s="1" t="str">
        <f t="shared" si="6"/>
        <v/>
      </c>
      <c r="Y13" s="1">
        <f t="shared" si="7"/>
        <v>10.352999999886379</v>
      </c>
      <c r="Z13" s="1">
        <f t="shared" si="8"/>
        <v>10.352999999886379</v>
      </c>
    </row>
    <row r="14" spans="1:26" x14ac:dyDescent="0.35">
      <c r="A14">
        <v>5</v>
      </c>
      <c r="B14">
        <v>0</v>
      </c>
      <c r="C14">
        <v>3</v>
      </c>
      <c r="D14">
        <v>2025</v>
      </c>
      <c r="E14">
        <v>8</v>
      </c>
      <c r="F14">
        <v>21</v>
      </c>
      <c r="G14">
        <v>0</v>
      </c>
      <c r="H14">
        <v>1</v>
      </c>
      <c r="I14">
        <v>18.748000000000001</v>
      </c>
      <c r="J14" s="3">
        <f t="shared" si="4"/>
        <v>1814478.7479999999</v>
      </c>
      <c r="K14" s="1">
        <f t="shared" si="9"/>
        <v>9.121999999973923</v>
      </c>
      <c r="L14" s="1">
        <f t="shared" si="5"/>
        <v>0</v>
      </c>
      <c r="M14" s="1">
        <f t="shared" si="5"/>
        <v>0</v>
      </c>
      <c r="N14" s="1">
        <f t="shared" si="5"/>
        <v>0</v>
      </c>
      <c r="O14" s="1">
        <f t="shared" si="5"/>
        <v>0</v>
      </c>
      <c r="P14" s="1">
        <f t="shared" si="5"/>
        <v>0</v>
      </c>
      <c r="Q14" s="1">
        <f t="shared" si="5"/>
        <v>0</v>
      </c>
      <c r="R14" s="1">
        <f t="shared" si="5"/>
        <v>0</v>
      </c>
      <c r="S14" s="1">
        <f t="shared" si="5"/>
        <v>0</v>
      </c>
      <c r="T14" s="1">
        <f t="shared" si="5"/>
        <v>0</v>
      </c>
      <c r="U14" s="1">
        <f t="shared" si="10"/>
        <v>0</v>
      </c>
      <c r="X14" s="1">
        <f t="shared" si="6"/>
        <v>9.121999999973923</v>
      </c>
      <c r="Y14" s="1">
        <f t="shared" si="7"/>
        <v>9.121999999973923</v>
      </c>
      <c r="Z14" s="1">
        <f t="shared" si="8"/>
        <v>9.121999999973923</v>
      </c>
    </row>
    <row r="15" spans="1:26" x14ac:dyDescent="0.35">
      <c r="A15">
        <v>6</v>
      </c>
      <c r="B15">
        <v>0</v>
      </c>
      <c r="C15">
        <v>3</v>
      </c>
      <c r="D15">
        <v>2025</v>
      </c>
      <c r="E15">
        <v>8</v>
      </c>
      <c r="F15">
        <v>21</v>
      </c>
      <c r="G15">
        <v>0</v>
      </c>
      <c r="H15">
        <v>1</v>
      </c>
      <c r="I15">
        <v>30.475999999999999</v>
      </c>
      <c r="J15" s="3">
        <f t="shared" si="4"/>
        <v>1814490.476</v>
      </c>
      <c r="K15" s="1">
        <f t="shared" si="9"/>
        <v>11.728000000119209</v>
      </c>
      <c r="L15" s="1" t="str">
        <f t="shared" si="5"/>
        <v/>
      </c>
      <c r="M15" s="1">
        <f t="shared" si="5"/>
        <v>0</v>
      </c>
      <c r="N15" s="1">
        <f t="shared" si="5"/>
        <v>0</v>
      </c>
      <c r="O15" s="1">
        <f t="shared" si="5"/>
        <v>0</v>
      </c>
      <c r="P15" s="1">
        <f t="shared" si="5"/>
        <v>0</v>
      </c>
      <c r="Q15" s="1">
        <f t="shared" si="5"/>
        <v>0</v>
      </c>
      <c r="R15" s="1">
        <f t="shared" si="5"/>
        <v>0</v>
      </c>
      <c r="S15" s="1">
        <f t="shared" si="5"/>
        <v>0</v>
      </c>
      <c r="T15" s="1">
        <f t="shared" si="5"/>
        <v>0</v>
      </c>
      <c r="U15" s="1">
        <f t="shared" si="10"/>
        <v>0</v>
      </c>
      <c r="X15" s="1" t="str">
        <f t="shared" si="6"/>
        <v/>
      </c>
      <c r="Y15" s="1">
        <f t="shared" si="7"/>
        <v>11.728000000119209</v>
      </c>
      <c r="Z15" s="1">
        <f t="shared" si="8"/>
        <v>11.728000000119209</v>
      </c>
    </row>
    <row r="16" spans="1:26" x14ac:dyDescent="0.35">
      <c r="A16">
        <v>7</v>
      </c>
      <c r="B16">
        <v>1</v>
      </c>
      <c r="C16">
        <v>0</v>
      </c>
      <c r="D16">
        <v>2025</v>
      </c>
      <c r="E16">
        <v>8</v>
      </c>
      <c r="F16">
        <v>21</v>
      </c>
      <c r="G16">
        <v>0</v>
      </c>
      <c r="H16">
        <v>1</v>
      </c>
      <c r="I16">
        <v>44.554000000000002</v>
      </c>
      <c r="J16" s="3">
        <f t="shared" si="4"/>
        <v>1814504.554</v>
      </c>
      <c r="K16" s="1">
        <f t="shared" si="9"/>
        <v>14.077999999979511</v>
      </c>
      <c r="L16" s="1" t="str">
        <f t="shared" si="5"/>
        <v/>
      </c>
      <c r="M16" s="1">
        <f t="shared" si="5"/>
        <v>1</v>
      </c>
      <c r="N16" s="1">
        <f t="shared" si="5"/>
        <v>1</v>
      </c>
      <c r="O16" s="1">
        <f t="shared" si="5"/>
        <v>1</v>
      </c>
      <c r="P16" s="1">
        <f t="shared" si="5"/>
        <v>1</v>
      </c>
      <c r="Q16" s="1">
        <f t="shared" si="5"/>
        <v>1</v>
      </c>
      <c r="R16" s="1">
        <f t="shared" si="5"/>
        <v>1</v>
      </c>
      <c r="S16" s="1">
        <f t="shared" si="5"/>
        <v>1</v>
      </c>
      <c r="T16" s="1">
        <f t="shared" si="5"/>
        <v>1</v>
      </c>
      <c r="U16" s="1">
        <f t="shared" si="10"/>
        <v>1</v>
      </c>
      <c r="X16" s="1" t="str">
        <f t="shared" si="6"/>
        <v/>
      </c>
      <c r="Y16" s="1">
        <f t="shared" si="7"/>
        <v>14.077999999979511</v>
      </c>
      <c r="Z16" s="1">
        <f t="shared" si="8"/>
        <v>14.077999999979511</v>
      </c>
    </row>
    <row r="17" spans="1:26" x14ac:dyDescent="0.35">
      <c r="A17">
        <v>8</v>
      </c>
      <c r="B17">
        <v>1</v>
      </c>
      <c r="C17">
        <v>0</v>
      </c>
      <c r="D17">
        <v>2025</v>
      </c>
      <c r="E17">
        <v>8</v>
      </c>
      <c r="F17">
        <v>21</v>
      </c>
      <c r="G17">
        <v>0</v>
      </c>
      <c r="H17">
        <v>1</v>
      </c>
      <c r="I17">
        <v>56.854999999999997</v>
      </c>
      <c r="J17" s="3">
        <f t="shared" si="4"/>
        <v>1814516.855</v>
      </c>
      <c r="K17" s="1">
        <f t="shared" si="9"/>
        <v>12.300999999977648</v>
      </c>
      <c r="L17" s="1" t="str">
        <f t="shared" si="5"/>
        <v/>
      </c>
      <c r="M17" s="1">
        <f t="shared" si="5"/>
        <v>1</v>
      </c>
      <c r="N17" s="1">
        <f t="shared" si="5"/>
        <v>1</v>
      </c>
      <c r="O17" s="1">
        <f t="shared" si="5"/>
        <v>1</v>
      </c>
      <c r="P17" s="1">
        <f t="shared" si="5"/>
        <v>1</v>
      </c>
      <c r="Q17" s="1">
        <f t="shared" si="5"/>
        <v>1</v>
      </c>
      <c r="R17" s="1">
        <f t="shared" si="5"/>
        <v>1</v>
      </c>
      <c r="S17" s="1">
        <f t="shared" si="5"/>
        <v>1</v>
      </c>
      <c r="T17" s="1">
        <f t="shared" si="5"/>
        <v>1</v>
      </c>
      <c r="U17" s="1">
        <f t="shared" si="10"/>
        <v>1</v>
      </c>
      <c r="X17" s="1" t="str">
        <f t="shared" si="6"/>
        <v/>
      </c>
      <c r="Y17" s="1">
        <f t="shared" si="7"/>
        <v>12.300999999977648</v>
      </c>
      <c r="Z17" s="1">
        <f t="shared" si="8"/>
        <v>12.300999999977648</v>
      </c>
    </row>
    <row r="18" spans="1:26" x14ac:dyDescent="0.35">
      <c r="A18">
        <v>9</v>
      </c>
      <c r="B18">
        <v>1</v>
      </c>
      <c r="C18">
        <v>0</v>
      </c>
      <c r="D18">
        <v>2025</v>
      </c>
      <c r="E18">
        <v>8</v>
      </c>
      <c r="F18">
        <v>21</v>
      </c>
      <c r="G18">
        <v>0</v>
      </c>
      <c r="H18">
        <v>2</v>
      </c>
      <c r="I18">
        <v>8.9570000000000007</v>
      </c>
      <c r="J18" s="3">
        <f t="shared" si="4"/>
        <v>1814528.9569999999</v>
      </c>
      <c r="K18" s="1">
        <f t="shared" si="9"/>
        <v>12.101999999955297</v>
      </c>
      <c r="L18" s="1" t="str">
        <f t="shared" si="5"/>
        <v/>
      </c>
      <c r="M18" s="1">
        <f t="shared" si="5"/>
        <v>1</v>
      </c>
      <c r="N18" s="1">
        <f t="shared" si="5"/>
        <v>1</v>
      </c>
      <c r="O18" s="1">
        <f t="shared" si="5"/>
        <v>1</v>
      </c>
      <c r="P18" s="1">
        <f t="shared" si="5"/>
        <v>1</v>
      </c>
      <c r="Q18" s="1">
        <f t="shared" si="5"/>
        <v>1</v>
      </c>
      <c r="R18" s="1">
        <f t="shared" si="5"/>
        <v>1</v>
      </c>
      <c r="S18" s="1">
        <f t="shared" si="5"/>
        <v>1</v>
      </c>
      <c r="T18" s="1">
        <f t="shared" si="5"/>
        <v>1</v>
      </c>
      <c r="U18" s="1">
        <f t="shared" si="10"/>
        <v>1</v>
      </c>
      <c r="X18" s="1" t="str">
        <f t="shared" si="6"/>
        <v/>
      </c>
      <c r="Y18" s="1">
        <f t="shared" si="7"/>
        <v>12.101999999955297</v>
      </c>
      <c r="Z18" s="1">
        <f t="shared" si="8"/>
        <v>12.101999999955297</v>
      </c>
    </row>
    <row r="19" spans="1:26" x14ac:dyDescent="0.35">
      <c r="A19">
        <v>10</v>
      </c>
      <c r="B19">
        <v>1</v>
      </c>
      <c r="C19">
        <v>0</v>
      </c>
      <c r="D19">
        <v>2025</v>
      </c>
      <c r="E19">
        <v>8</v>
      </c>
      <c r="F19">
        <v>21</v>
      </c>
      <c r="G19">
        <v>0</v>
      </c>
      <c r="H19">
        <v>2</v>
      </c>
      <c r="I19">
        <v>18.276</v>
      </c>
      <c r="J19" s="3">
        <f t="shared" si="4"/>
        <v>1814538.2760000001</v>
      </c>
      <c r="K19" s="1">
        <f t="shared" si="9"/>
        <v>9.3190000001341105</v>
      </c>
      <c r="L19" s="1">
        <f t="shared" si="5"/>
        <v>1</v>
      </c>
      <c r="M19" s="1">
        <f t="shared" si="5"/>
        <v>1</v>
      </c>
      <c r="N19" s="1">
        <f t="shared" si="5"/>
        <v>1</v>
      </c>
      <c r="O19" s="1">
        <f t="shared" si="5"/>
        <v>1</v>
      </c>
      <c r="P19" s="1">
        <f t="shared" si="5"/>
        <v>1</v>
      </c>
      <c r="Q19" s="1">
        <f t="shared" si="5"/>
        <v>1</v>
      </c>
      <c r="R19" s="1">
        <f t="shared" si="5"/>
        <v>1</v>
      </c>
      <c r="S19" s="1">
        <f t="shared" si="5"/>
        <v>1</v>
      </c>
      <c r="T19" s="1">
        <f t="shared" si="5"/>
        <v>1</v>
      </c>
      <c r="U19" s="1">
        <f t="shared" si="10"/>
        <v>1</v>
      </c>
      <c r="X19" s="1">
        <f t="shared" si="6"/>
        <v>9.3190000001341105</v>
      </c>
      <c r="Y19" s="1">
        <f t="shared" si="7"/>
        <v>9.3190000001341105</v>
      </c>
      <c r="Z19" s="1">
        <f t="shared" si="8"/>
        <v>9.3190000001341105</v>
      </c>
    </row>
    <row r="20" spans="1:26" x14ac:dyDescent="0.35">
      <c r="A20">
        <v>11</v>
      </c>
      <c r="B20">
        <v>1</v>
      </c>
      <c r="C20">
        <v>0</v>
      </c>
      <c r="D20">
        <v>2025</v>
      </c>
      <c r="E20">
        <v>8</v>
      </c>
      <c r="F20">
        <v>21</v>
      </c>
      <c r="G20">
        <v>0</v>
      </c>
      <c r="H20">
        <v>2</v>
      </c>
      <c r="I20">
        <v>29.744</v>
      </c>
      <c r="J20" s="3">
        <f t="shared" si="4"/>
        <v>1814549.7439999999</v>
      </c>
      <c r="K20" s="1">
        <f t="shared" si="9"/>
        <v>11.467999999877065</v>
      </c>
      <c r="L20" s="1" t="str">
        <f t="shared" si="5"/>
        <v/>
      </c>
      <c r="M20" s="1">
        <f t="shared" si="5"/>
        <v>1</v>
      </c>
      <c r="N20" s="1">
        <f t="shared" si="5"/>
        <v>1</v>
      </c>
      <c r="O20" s="1">
        <f t="shared" si="5"/>
        <v>1</v>
      </c>
      <c r="P20" s="1">
        <f t="shared" si="5"/>
        <v>1</v>
      </c>
      <c r="Q20" s="1">
        <f t="shared" si="5"/>
        <v>1</v>
      </c>
      <c r="R20" s="1">
        <f t="shared" si="5"/>
        <v>1</v>
      </c>
      <c r="S20" s="1">
        <f t="shared" si="5"/>
        <v>1</v>
      </c>
      <c r="T20" s="1">
        <f t="shared" si="5"/>
        <v>1</v>
      </c>
      <c r="U20" s="1">
        <f t="shared" si="10"/>
        <v>1</v>
      </c>
      <c r="X20" s="1" t="str">
        <f t="shared" si="6"/>
        <v/>
      </c>
      <c r="Y20" s="1">
        <f t="shared" si="7"/>
        <v>11.467999999877065</v>
      </c>
      <c r="Z20" s="1">
        <f t="shared" si="8"/>
        <v>11.467999999877065</v>
      </c>
    </row>
    <row r="21" spans="1:26" x14ac:dyDescent="0.35">
      <c r="A21">
        <v>12</v>
      </c>
      <c r="B21">
        <v>1</v>
      </c>
      <c r="C21">
        <v>0</v>
      </c>
      <c r="D21">
        <v>2025</v>
      </c>
      <c r="E21">
        <v>8</v>
      </c>
      <c r="F21">
        <v>21</v>
      </c>
      <c r="G21">
        <v>0</v>
      </c>
      <c r="H21">
        <v>2</v>
      </c>
      <c r="I21">
        <v>40.301000000000002</v>
      </c>
      <c r="J21" s="3">
        <f t="shared" si="4"/>
        <v>1814560.301</v>
      </c>
      <c r="K21" s="1">
        <f t="shared" si="9"/>
        <v>10.557000000029802</v>
      </c>
      <c r="L21" s="1" t="str">
        <f t="shared" ref="L21:T30" si="11">IF($K21&lt;L$4,$B21,"")</f>
        <v/>
      </c>
      <c r="M21" s="1">
        <f t="shared" si="11"/>
        <v>1</v>
      </c>
      <c r="N21" s="1">
        <f t="shared" si="11"/>
        <v>1</v>
      </c>
      <c r="O21" s="1">
        <f t="shared" si="11"/>
        <v>1</v>
      </c>
      <c r="P21" s="1">
        <f t="shared" si="11"/>
        <v>1</v>
      </c>
      <c r="Q21" s="1">
        <f t="shared" si="11"/>
        <v>1</v>
      </c>
      <c r="R21" s="1">
        <f t="shared" si="11"/>
        <v>1</v>
      </c>
      <c r="S21" s="1">
        <f t="shared" si="11"/>
        <v>1</v>
      </c>
      <c r="T21" s="1">
        <f t="shared" si="11"/>
        <v>1</v>
      </c>
      <c r="U21" s="1">
        <f t="shared" si="10"/>
        <v>1</v>
      </c>
      <c r="X21" s="1" t="str">
        <f t="shared" si="6"/>
        <v/>
      </c>
      <c r="Y21" s="1">
        <f t="shared" si="7"/>
        <v>10.557000000029802</v>
      </c>
      <c r="Z21" s="1">
        <f t="shared" si="8"/>
        <v>10.557000000029802</v>
      </c>
    </row>
    <row r="22" spans="1:26" x14ac:dyDescent="0.35">
      <c r="A22">
        <v>13</v>
      </c>
      <c r="B22">
        <v>0</v>
      </c>
      <c r="C22">
        <v>3</v>
      </c>
      <c r="D22">
        <v>2025</v>
      </c>
      <c r="E22">
        <v>8</v>
      </c>
      <c r="F22">
        <v>21</v>
      </c>
      <c r="G22">
        <v>0</v>
      </c>
      <c r="H22">
        <v>2</v>
      </c>
      <c r="I22">
        <v>49.688000000000002</v>
      </c>
      <c r="J22" s="3">
        <f t="shared" si="4"/>
        <v>1814569.6880000001</v>
      </c>
      <c r="K22" s="1">
        <f t="shared" si="9"/>
        <v>9.3870000001043081</v>
      </c>
      <c r="L22" s="1">
        <f t="shared" si="11"/>
        <v>0</v>
      </c>
      <c r="M22" s="1">
        <f t="shared" si="11"/>
        <v>0</v>
      </c>
      <c r="N22" s="1">
        <f t="shared" si="11"/>
        <v>0</v>
      </c>
      <c r="O22" s="1">
        <f t="shared" si="11"/>
        <v>0</v>
      </c>
      <c r="P22" s="1">
        <f t="shared" si="11"/>
        <v>0</v>
      </c>
      <c r="Q22" s="1">
        <f t="shared" si="11"/>
        <v>0</v>
      </c>
      <c r="R22" s="1">
        <f t="shared" si="11"/>
        <v>0</v>
      </c>
      <c r="S22" s="1">
        <f t="shared" si="11"/>
        <v>0</v>
      </c>
      <c r="T22" s="1">
        <f t="shared" si="11"/>
        <v>0</v>
      </c>
      <c r="U22" s="1">
        <f t="shared" si="10"/>
        <v>0</v>
      </c>
      <c r="X22" s="1">
        <f t="shared" si="6"/>
        <v>9.3870000001043081</v>
      </c>
      <c r="Y22" s="1">
        <f t="shared" si="7"/>
        <v>9.3870000001043081</v>
      </c>
      <c r="Z22" s="1">
        <f t="shared" si="8"/>
        <v>9.3870000001043081</v>
      </c>
    </row>
    <row r="23" spans="1:26" x14ac:dyDescent="0.35">
      <c r="A23">
        <v>14</v>
      </c>
      <c r="B23">
        <v>0</v>
      </c>
      <c r="C23">
        <v>3</v>
      </c>
      <c r="D23">
        <v>2025</v>
      </c>
      <c r="E23">
        <v>8</v>
      </c>
      <c r="F23">
        <v>21</v>
      </c>
      <c r="G23">
        <v>0</v>
      </c>
      <c r="H23">
        <v>3</v>
      </c>
      <c r="I23">
        <v>0.44700000000000001</v>
      </c>
      <c r="J23" s="3">
        <f t="shared" si="4"/>
        <v>1814580.4469999999</v>
      </c>
      <c r="K23" s="1">
        <f t="shared" si="9"/>
        <v>10.7589999998454</v>
      </c>
      <c r="L23" s="1" t="str">
        <f t="shared" si="11"/>
        <v/>
      </c>
      <c r="M23" s="1">
        <f t="shared" si="11"/>
        <v>0</v>
      </c>
      <c r="N23" s="1">
        <f t="shared" si="11"/>
        <v>0</v>
      </c>
      <c r="O23" s="1">
        <f t="shared" si="11"/>
        <v>0</v>
      </c>
      <c r="P23" s="1">
        <f t="shared" si="11"/>
        <v>0</v>
      </c>
      <c r="Q23" s="1">
        <f t="shared" si="11"/>
        <v>0</v>
      </c>
      <c r="R23" s="1">
        <f t="shared" si="11"/>
        <v>0</v>
      </c>
      <c r="S23" s="1">
        <f t="shared" si="11"/>
        <v>0</v>
      </c>
      <c r="T23" s="1">
        <f t="shared" si="11"/>
        <v>0</v>
      </c>
      <c r="U23" s="1">
        <f t="shared" si="10"/>
        <v>0</v>
      </c>
      <c r="X23" s="1" t="str">
        <f t="shared" si="6"/>
        <v/>
      </c>
      <c r="Y23" s="1">
        <f t="shared" si="7"/>
        <v>10.7589999998454</v>
      </c>
      <c r="Z23" s="1">
        <f t="shared" si="8"/>
        <v>10.7589999998454</v>
      </c>
    </row>
    <row r="24" spans="1:26" x14ac:dyDescent="0.35">
      <c r="A24">
        <v>15</v>
      </c>
      <c r="B24">
        <v>1</v>
      </c>
      <c r="C24">
        <v>0</v>
      </c>
      <c r="D24">
        <v>2025</v>
      </c>
      <c r="E24">
        <v>8</v>
      </c>
      <c r="F24">
        <v>21</v>
      </c>
      <c r="G24">
        <v>0</v>
      </c>
      <c r="H24">
        <v>3</v>
      </c>
      <c r="I24">
        <v>13.762</v>
      </c>
      <c r="J24" s="3">
        <f t="shared" si="4"/>
        <v>1814593.7620000001</v>
      </c>
      <c r="K24" s="1">
        <f t="shared" si="9"/>
        <v>13.315000000176951</v>
      </c>
      <c r="L24" s="1" t="str">
        <f t="shared" si="11"/>
        <v/>
      </c>
      <c r="M24" s="1">
        <f t="shared" si="11"/>
        <v>1</v>
      </c>
      <c r="N24" s="1">
        <f t="shared" si="11"/>
        <v>1</v>
      </c>
      <c r="O24" s="1">
        <f t="shared" si="11"/>
        <v>1</v>
      </c>
      <c r="P24" s="1">
        <f t="shared" si="11"/>
        <v>1</v>
      </c>
      <c r="Q24" s="1">
        <f t="shared" si="11"/>
        <v>1</v>
      </c>
      <c r="R24" s="1">
        <f t="shared" si="11"/>
        <v>1</v>
      </c>
      <c r="S24" s="1">
        <f t="shared" si="11"/>
        <v>1</v>
      </c>
      <c r="T24" s="1">
        <f t="shared" si="11"/>
        <v>1</v>
      </c>
      <c r="U24" s="1">
        <f t="shared" si="10"/>
        <v>1</v>
      </c>
      <c r="X24" s="1" t="str">
        <f t="shared" si="6"/>
        <v/>
      </c>
      <c r="Y24" s="1">
        <f t="shared" si="7"/>
        <v>13.315000000176951</v>
      </c>
      <c r="Z24" s="1">
        <f t="shared" si="8"/>
        <v>13.315000000176951</v>
      </c>
    </row>
    <row r="25" spans="1:26" x14ac:dyDescent="0.35">
      <c r="A25">
        <v>16</v>
      </c>
      <c r="B25">
        <v>1</v>
      </c>
      <c r="C25">
        <v>0</v>
      </c>
      <c r="D25">
        <v>2025</v>
      </c>
      <c r="E25">
        <v>8</v>
      </c>
      <c r="F25">
        <v>21</v>
      </c>
      <c r="G25">
        <v>0</v>
      </c>
      <c r="H25">
        <v>3</v>
      </c>
      <c r="I25">
        <v>31.285</v>
      </c>
      <c r="J25" s="3">
        <f t="shared" si="4"/>
        <v>1814611.2849999999</v>
      </c>
      <c r="K25" s="1">
        <f t="shared" si="9"/>
        <v>17.522999999811873</v>
      </c>
      <c r="L25" s="1" t="str">
        <f t="shared" si="11"/>
        <v/>
      </c>
      <c r="M25" s="1" t="str">
        <f t="shared" si="11"/>
        <v/>
      </c>
      <c r="N25" s="1">
        <f t="shared" si="11"/>
        <v>1</v>
      </c>
      <c r="O25" s="1">
        <f t="shared" si="11"/>
        <v>1</v>
      </c>
      <c r="P25" s="1">
        <f t="shared" si="11"/>
        <v>1</v>
      </c>
      <c r="Q25" s="1">
        <f t="shared" si="11"/>
        <v>1</v>
      </c>
      <c r="R25" s="1">
        <f t="shared" si="11"/>
        <v>1</v>
      </c>
      <c r="S25" s="1">
        <f t="shared" si="11"/>
        <v>1</v>
      </c>
      <c r="T25" s="1">
        <f t="shared" si="11"/>
        <v>1</v>
      </c>
      <c r="U25" s="1">
        <f t="shared" si="10"/>
        <v>1</v>
      </c>
      <c r="X25" s="1" t="str">
        <f t="shared" si="6"/>
        <v/>
      </c>
      <c r="Y25" s="1" t="str">
        <f t="shared" si="7"/>
        <v/>
      </c>
      <c r="Z25" s="1">
        <f t="shared" si="8"/>
        <v>17.522999999811873</v>
      </c>
    </row>
    <row r="26" spans="1:26" x14ac:dyDescent="0.35">
      <c r="A26">
        <v>17</v>
      </c>
      <c r="B26">
        <v>1</v>
      </c>
      <c r="C26">
        <v>0</v>
      </c>
      <c r="D26">
        <v>2025</v>
      </c>
      <c r="E26">
        <v>8</v>
      </c>
      <c r="F26">
        <v>21</v>
      </c>
      <c r="G26">
        <v>0</v>
      </c>
      <c r="H26">
        <v>3</v>
      </c>
      <c r="I26">
        <v>46.79</v>
      </c>
      <c r="J26" s="3">
        <f t="shared" si="4"/>
        <v>1814626.79</v>
      </c>
      <c r="K26" s="1">
        <f t="shared" si="9"/>
        <v>15.505000000121072</v>
      </c>
      <c r="L26" s="1" t="str">
        <f t="shared" si="11"/>
        <v/>
      </c>
      <c r="M26" s="1" t="str">
        <f t="shared" si="11"/>
        <v/>
      </c>
      <c r="N26" s="1">
        <f t="shared" si="11"/>
        <v>1</v>
      </c>
      <c r="O26" s="1">
        <f t="shared" si="11"/>
        <v>1</v>
      </c>
      <c r="P26" s="1">
        <f t="shared" si="11"/>
        <v>1</v>
      </c>
      <c r="Q26" s="1">
        <f t="shared" si="11"/>
        <v>1</v>
      </c>
      <c r="R26" s="1">
        <f t="shared" si="11"/>
        <v>1</v>
      </c>
      <c r="S26" s="1">
        <f t="shared" si="11"/>
        <v>1</v>
      </c>
      <c r="T26" s="1">
        <f t="shared" si="11"/>
        <v>1</v>
      </c>
      <c r="U26" s="1">
        <f t="shared" si="10"/>
        <v>1</v>
      </c>
      <c r="X26" s="1" t="str">
        <f t="shared" si="6"/>
        <v/>
      </c>
      <c r="Y26" s="1" t="str">
        <f t="shared" si="7"/>
        <v/>
      </c>
      <c r="Z26" s="1">
        <f t="shared" si="8"/>
        <v>15.505000000121072</v>
      </c>
    </row>
    <row r="27" spans="1:26" x14ac:dyDescent="0.35">
      <c r="A27">
        <v>18</v>
      </c>
      <c r="B27">
        <v>1</v>
      </c>
      <c r="C27">
        <v>0</v>
      </c>
      <c r="D27">
        <v>2025</v>
      </c>
      <c r="E27">
        <v>8</v>
      </c>
      <c r="F27">
        <v>21</v>
      </c>
      <c r="G27">
        <v>0</v>
      </c>
      <c r="H27">
        <v>3</v>
      </c>
      <c r="I27">
        <v>57.936</v>
      </c>
      <c r="J27" s="3">
        <f t="shared" si="4"/>
        <v>1814637.936</v>
      </c>
      <c r="K27" s="1">
        <f t="shared" si="9"/>
        <v>11.145999999949709</v>
      </c>
      <c r="L27" s="1" t="str">
        <f t="shared" si="11"/>
        <v/>
      </c>
      <c r="M27" s="1">
        <f t="shared" si="11"/>
        <v>1</v>
      </c>
      <c r="N27" s="1">
        <f t="shared" si="11"/>
        <v>1</v>
      </c>
      <c r="O27" s="1">
        <f t="shared" si="11"/>
        <v>1</v>
      </c>
      <c r="P27" s="1">
        <f t="shared" si="11"/>
        <v>1</v>
      </c>
      <c r="Q27" s="1">
        <f t="shared" si="11"/>
        <v>1</v>
      </c>
      <c r="R27" s="1">
        <f t="shared" si="11"/>
        <v>1</v>
      </c>
      <c r="S27" s="1">
        <f t="shared" si="11"/>
        <v>1</v>
      </c>
      <c r="T27" s="1">
        <f t="shared" si="11"/>
        <v>1</v>
      </c>
      <c r="U27" s="1">
        <f t="shared" si="10"/>
        <v>1</v>
      </c>
      <c r="X27" s="1" t="str">
        <f t="shared" si="6"/>
        <v/>
      </c>
      <c r="Y27" s="1">
        <f t="shared" si="7"/>
        <v>11.145999999949709</v>
      </c>
      <c r="Z27" s="1">
        <f t="shared" si="8"/>
        <v>11.145999999949709</v>
      </c>
    </row>
    <row r="28" spans="1:26" x14ac:dyDescent="0.35">
      <c r="A28">
        <v>19</v>
      </c>
      <c r="B28">
        <v>1</v>
      </c>
      <c r="C28">
        <v>0</v>
      </c>
      <c r="D28">
        <v>2025</v>
      </c>
      <c r="E28">
        <v>8</v>
      </c>
      <c r="F28">
        <v>21</v>
      </c>
      <c r="G28">
        <v>0</v>
      </c>
      <c r="H28">
        <v>4</v>
      </c>
      <c r="I28">
        <v>7.3879999999999999</v>
      </c>
      <c r="J28" s="3">
        <f t="shared" si="4"/>
        <v>1814647.388</v>
      </c>
      <c r="K28" s="1">
        <f t="shared" si="9"/>
        <v>9.4520000000484288</v>
      </c>
      <c r="L28" s="1">
        <f t="shared" si="11"/>
        <v>1</v>
      </c>
      <c r="M28" s="1">
        <f t="shared" si="11"/>
        <v>1</v>
      </c>
      <c r="N28" s="1">
        <f t="shared" si="11"/>
        <v>1</v>
      </c>
      <c r="O28" s="1">
        <f t="shared" si="11"/>
        <v>1</v>
      </c>
      <c r="P28" s="1">
        <f t="shared" si="11"/>
        <v>1</v>
      </c>
      <c r="Q28" s="1">
        <f t="shared" si="11"/>
        <v>1</v>
      </c>
      <c r="R28" s="1">
        <f t="shared" si="11"/>
        <v>1</v>
      </c>
      <c r="S28" s="1">
        <f t="shared" si="11"/>
        <v>1</v>
      </c>
      <c r="T28" s="1">
        <f t="shared" si="11"/>
        <v>1</v>
      </c>
      <c r="U28" s="1">
        <f t="shared" si="10"/>
        <v>1</v>
      </c>
      <c r="X28" s="1">
        <f t="shared" si="6"/>
        <v>9.4520000000484288</v>
      </c>
      <c r="Y28" s="1">
        <f t="shared" si="7"/>
        <v>9.4520000000484288</v>
      </c>
      <c r="Z28" s="1">
        <f t="shared" si="8"/>
        <v>9.4520000000484288</v>
      </c>
    </row>
    <row r="29" spans="1:26" x14ac:dyDescent="0.35">
      <c r="A29">
        <v>20</v>
      </c>
      <c r="B29">
        <v>1</v>
      </c>
      <c r="C29">
        <v>0</v>
      </c>
      <c r="D29">
        <v>2025</v>
      </c>
      <c r="E29">
        <v>8</v>
      </c>
      <c r="F29">
        <v>21</v>
      </c>
      <c r="G29">
        <v>0</v>
      </c>
      <c r="H29">
        <v>4</v>
      </c>
      <c r="I29">
        <v>15.906000000000001</v>
      </c>
      <c r="J29" s="3">
        <f t="shared" si="4"/>
        <v>1814655.906</v>
      </c>
      <c r="K29" s="1">
        <f t="shared" si="9"/>
        <v>8.5179999999236315</v>
      </c>
      <c r="L29" s="1">
        <f t="shared" si="11"/>
        <v>1</v>
      </c>
      <c r="M29" s="1">
        <f t="shared" si="11"/>
        <v>1</v>
      </c>
      <c r="N29" s="1">
        <f t="shared" si="11"/>
        <v>1</v>
      </c>
      <c r="O29" s="1">
        <f t="shared" si="11"/>
        <v>1</v>
      </c>
      <c r="P29" s="1">
        <f t="shared" si="11"/>
        <v>1</v>
      </c>
      <c r="Q29" s="1">
        <f t="shared" si="11"/>
        <v>1</v>
      </c>
      <c r="R29" s="1">
        <f t="shared" si="11"/>
        <v>1</v>
      </c>
      <c r="S29" s="1">
        <f t="shared" si="11"/>
        <v>1</v>
      </c>
      <c r="T29" s="1">
        <f t="shared" si="11"/>
        <v>1</v>
      </c>
      <c r="U29" s="1">
        <f t="shared" si="10"/>
        <v>1</v>
      </c>
      <c r="X29" s="1">
        <f t="shared" si="6"/>
        <v>8.5179999999236315</v>
      </c>
      <c r="Y29" s="1">
        <f t="shared" si="7"/>
        <v>8.5179999999236315</v>
      </c>
      <c r="Z29" s="1">
        <f t="shared" si="8"/>
        <v>8.5179999999236315</v>
      </c>
    </row>
    <row r="30" spans="1:26" x14ac:dyDescent="0.35">
      <c r="A30">
        <v>21</v>
      </c>
      <c r="B30">
        <v>1</v>
      </c>
      <c r="C30">
        <v>0</v>
      </c>
      <c r="D30">
        <v>2025</v>
      </c>
      <c r="E30">
        <v>8</v>
      </c>
      <c r="F30">
        <v>21</v>
      </c>
      <c r="G30">
        <v>0</v>
      </c>
      <c r="H30">
        <v>4</v>
      </c>
      <c r="I30">
        <v>26.670999999999999</v>
      </c>
      <c r="J30" s="3">
        <f t="shared" si="4"/>
        <v>1814666.6710000001</v>
      </c>
      <c r="K30" s="1">
        <f t="shared" si="9"/>
        <v>10.765000000130385</v>
      </c>
      <c r="L30" s="1" t="str">
        <f t="shared" si="11"/>
        <v/>
      </c>
      <c r="M30" s="1">
        <f t="shared" si="11"/>
        <v>1</v>
      </c>
      <c r="N30" s="1">
        <f t="shared" si="11"/>
        <v>1</v>
      </c>
      <c r="O30" s="1">
        <f t="shared" si="11"/>
        <v>1</v>
      </c>
      <c r="P30" s="1">
        <f t="shared" si="11"/>
        <v>1</v>
      </c>
      <c r="Q30" s="1">
        <f t="shared" si="11"/>
        <v>1</v>
      </c>
      <c r="R30" s="1">
        <f t="shared" si="11"/>
        <v>1</v>
      </c>
      <c r="S30" s="1">
        <f t="shared" si="11"/>
        <v>1</v>
      </c>
      <c r="T30" s="1">
        <f t="shared" si="11"/>
        <v>1</v>
      </c>
      <c r="U30" s="1">
        <f t="shared" si="10"/>
        <v>1</v>
      </c>
      <c r="X30" s="1" t="str">
        <f t="shared" si="6"/>
        <v/>
      </c>
      <c r="Y30" s="1">
        <f t="shared" si="7"/>
        <v>10.765000000130385</v>
      </c>
      <c r="Z30" s="1">
        <f t="shared" si="8"/>
        <v>10.765000000130385</v>
      </c>
    </row>
    <row r="31" spans="1:26" x14ac:dyDescent="0.35">
      <c r="A31">
        <v>22</v>
      </c>
      <c r="B31">
        <v>0</v>
      </c>
      <c r="C31">
        <v>1</v>
      </c>
      <c r="D31">
        <v>2025</v>
      </c>
      <c r="E31">
        <v>8</v>
      </c>
      <c r="F31">
        <v>21</v>
      </c>
      <c r="G31">
        <v>0</v>
      </c>
      <c r="H31">
        <v>4</v>
      </c>
      <c r="I31">
        <v>38.192</v>
      </c>
      <c r="J31" s="3">
        <f t="shared" si="4"/>
        <v>1814678.192</v>
      </c>
      <c r="K31" s="1">
        <f t="shared" si="9"/>
        <v>11.520999999949709</v>
      </c>
      <c r="L31" s="1" t="str">
        <f t="shared" ref="L31:T40" si="12">IF($K31&lt;L$4,$B31,"")</f>
        <v/>
      </c>
      <c r="M31" s="1">
        <f t="shared" si="12"/>
        <v>0</v>
      </c>
      <c r="N31" s="1">
        <f t="shared" si="12"/>
        <v>0</v>
      </c>
      <c r="O31" s="1">
        <f t="shared" si="12"/>
        <v>0</v>
      </c>
      <c r="P31" s="1">
        <f t="shared" si="12"/>
        <v>0</v>
      </c>
      <c r="Q31" s="1">
        <f t="shared" si="12"/>
        <v>0</v>
      </c>
      <c r="R31" s="1">
        <f t="shared" si="12"/>
        <v>0</v>
      </c>
      <c r="S31" s="1">
        <f t="shared" si="12"/>
        <v>0</v>
      </c>
      <c r="T31" s="1">
        <f t="shared" si="12"/>
        <v>0</v>
      </c>
      <c r="U31" s="1">
        <f t="shared" si="10"/>
        <v>0</v>
      </c>
      <c r="X31" s="1" t="str">
        <f t="shared" si="6"/>
        <v/>
      </c>
      <c r="Y31" s="1">
        <f t="shared" si="7"/>
        <v>11.520999999949709</v>
      </c>
      <c r="Z31" s="1">
        <f t="shared" si="8"/>
        <v>11.520999999949709</v>
      </c>
    </row>
    <row r="32" spans="1:26" x14ac:dyDescent="0.35">
      <c r="A32">
        <v>23</v>
      </c>
      <c r="B32">
        <v>0</v>
      </c>
      <c r="C32">
        <v>0</v>
      </c>
      <c r="D32">
        <v>2025</v>
      </c>
      <c r="E32">
        <v>8</v>
      </c>
      <c r="F32">
        <v>21</v>
      </c>
      <c r="G32">
        <v>0</v>
      </c>
      <c r="H32">
        <v>4</v>
      </c>
      <c r="I32">
        <v>48.329000000000001</v>
      </c>
      <c r="J32" s="3">
        <f t="shared" si="4"/>
        <v>1814688.3289999999</v>
      </c>
      <c r="K32" s="1">
        <f t="shared" si="9"/>
        <v>10.136999999871477</v>
      </c>
      <c r="L32" s="1" t="str">
        <f t="shared" si="12"/>
        <v/>
      </c>
      <c r="M32" s="1">
        <f t="shared" si="12"/>
        <v>0</v>
      </c>
      <c r="N32" s="1">
        <f t="shared" si="12"/>
        <v>0</v>
      </c>
      <c r="O32" s="1">
        <f t="shared" si="12"/>
        <v>0</v>
      </c>
      <c r="P32" s="1">
        <f t="shared" si="12"/>
        <v>0</v>
      </c>
      <c r="Q32" s="1">
        <f t="shared" si="12"/>
        <v>0</v>
      </c>
      <c r="R32" s="1">
        <f t="shared" si="12"/>
        <v>0</v>
      </c>
      <c r="S32" s="1">
        <f t="shared" si="12"/>
        <v>0</v>
      </c>
      <c r="T32" s="1">
        <f t="shared" si="12"/>
        <v>0</v>
      </c>
      <c r="U32" s="1">
        <f t="shared" si="10"/>
        <v>0</v>
      </c>
      <c r="X32" s="1" t="str">
        <f t="shared" si="6"/>
        <v/>
      </c>
      <c r="Y32" s="1">
        <f t="shared" si="7"/>
        <v>10.136999999871477</v>
      </c>
      <c r="Z32" s="1">
        <f t="shared" si="8"/>
        <v>10.136999999871477</v>
      </c>
    </row>
    <row r="33" spans="1:26" x14ac:dyDescent="0.35">
      <c r="A33">
        <v>24</v>
      </c>
      <c r="B33">
        <v>1</v>
      </c>
      <c r="C33">
        <v>3</v>
      </c>
      <c r="D33">
        <v>2025</v>
      </c>
      <c r="E33">
        <v>8</v>
      </c>
      <c r="F33">
        <v>21</v>
      </c>
      <c r="G33">
        <v>0</v>
      </c>
      <c r="H33">
        <v>4</v>
      </c>
      <c r="I33">
        <v>59.448999999999998</v>
      </c>
      <c r="J33" s="3">
        <f t="shared" si="4"/>
        <v>1814699.449</v>
      </c>
      <c r="K33" s="1">
        <f t="shared" si="9"/>
        <v>11.120000000111759</v>
      </c>
      <c r="L33" s="1" t="str">
        <f t="shared" si="12"/>
        <v/>
      </c>
      <c r="M33" s="1">
        <f t="shared" si="12"/>
        <v>1</v>
      </c>
      <c r="N33" s="1">
        <f t="shared" si="12"/>
        <v>1</v>
      </c>
      <c r="O33" s="1">
        <f t="shared" si="12"/>
        <v>1</v>
      </c>
      <c r="P33" s="1">
        <f t="shared" si="12"/>
        <v>1</v>
      </c>
      <c r="Q33" s="1">
        <f t="shared" si="12"/>
        <v>1</v>
      </c>
      <c r="R33" s="1">
        <f t="shared" si="12"/>
        <v>1</v>
      </c>
      <c r="S33" s="1">
        <f t="shared" si="12"/>
        <v>1</v>
      </c>
      <c r="T33" s="1">
        <f t="shared" si="12"/>
        <v>1</v>
      </c>
      <c r="U33" s="1">
        <f t="shared" si="10"/>
        <v>1</v>
      </c>
      <c r="X33" s="1" t="str">
        <f t="shared" si="6"/>
        <v/>
      </c>
      <c r="Y33" s="1">
        <f t="shared" si="7"/>
        <v>11.120000000111759</v>
      </c>
      <c r="Z33" s="1">
        <f t="shared" si="8"/>
        <v>11.120000000111759</v>
      </c>
    </row>
    <row r="34" spans="1:26" x14ac:dyDescent="0.35">
      <c r="A34">
        <v>25</v>
      </c>
      <c r="B34">
        <v>0</v>
      </c>
      <c r="C34">
        <v>0</v>
      </c>
      <c r="D34">
        <v>2025</v>
      </c>
      <c r="E34">
        <v>8</v>
      </c>
      <c r="F34">
        <v>21</v>
      </c>
      <c r="G34">
        <v>0</v>
      </c>
      <c r="H34">
        <v>5</v>
      </c>
      <c r="I34">
        <v>18.95</v>
      </c>
      <c r="J34" s="3">
        <f t="shared" si="4"/>
        <v>1814718.95</v>
      </c>
      <c r="K34" s="1">
        <f t="shared" si="9"/>
        <v>19.500999999931082</v>
      </c>
      <c r="L34" s="1" t="str">
        <f t="shared" si="12"/>
        <v/>
      </c>
      <c r="M34" s="1" t="str">
        <f t="shared" si="12"/>
        <v/>
      </c>
      <c r="N34" s="1">
        <f t="shared" si="12"/>
        <v>0</v>
      </c>
      <c r="O34" s="1">
        <f t="shared" si="12"/>
        <v>0</v>
      </c>
      <c r="P34" s="1">
        <f t="shared" si="12"/>
        <v>0</v>
      </c>
      <c r="Q34" s="1">
        <f t="shared" si="12"/>
        <v>0</v>
      </c>
      <c r="R34" s="1">
        <f t="shared" si="12"/>
        <v>0</v>
      </c>
      <c r="S34" s="1">
        <f t="shared" si="12"/>
        <v>0</v>
      </c>
      <c r="T34" s="1">
        <f t="shared" si="12"/>
        <v>0</v>
      </c>
      <c r="U34" s="1">
        <f t="shared" si="10"/>
        <v>0</v>
      </c>
      <c r="X34" s="1" t="str">
        <f t="shared" si="6"/>
        <v/>
      </c>
      <c r="Y34" s="1" t="str">
        <f t="shared" si="7"/>
        <v/>
      </c>
      <c r="Z34" s="1">
        <f t="shared" si="8"/>
        <v>19.500999999931082</v>
      </c>
    </row>
    <row r="35" spans="1:26" x14ac:dyDescent="0.35">
      <c r="A35">
        <v>26</v>
      </c>
      <c r="B35">
        <v>0</v>
      </c>
      <c r="C35">
        <v>0</v>
      </c>
      <c r="D35">
        <v>2025</v>
      </c>
      <c r="E35">
        <v>8</v>
      </c>
      <c r="F35">
        <v>21</v>
      </c>
      <c r="G35">
        <v>0</v>
      </c>
      <c r="H35">
        <v>5</v>
      </c>
      <c r="I35">
        <v>33.603999999999999</v>
      </c>
      <c r="J35" s="3">
        <f t="shared" si="4"/>
        <v>1814733.6040000001</v>
      </c>
      <c r="K35" s="1">
        <f t="shared" si="9"/>
        <v>14.654000000096858</v>
      </c>
      <c r="L35" s="1" t="str">
        <f t="shared" si="12"/>
        <v/>
      </c>
      <c r="M35" s="1">
        <f t="shared" si="12"/>
        <v>0</v>
      </c>
      <c r="N35" s="1">
        <f t="shared" si="12"/>
        <v>0</v>
      </c>
      <c r="O35" s="1">
        <f t="shared" si="12"/>
        <v>0</v>
      </c>
      <c r="P35" s="1">
        <f t="shared" si="12"/>
        <v>0</v>
      </c>
      <c r="Q35" s="1">
        <f t="shared" si="12"/>
        <v>0</v>
      </c>
      <c r="R35" s="1">
        <f t="shared" si="12"/>
        <v>0</v>
      </c>
      <c r="S35" s="1">
        <f t="shared" si="12"/>
        <v>0</v>
      </c>
      <c r="T35" s="1">
        <f t="shared" si="12"/>
        <v>0</v>
      </c>
      <c r="U35" s="1">
        <f t="shared" si="10"/>
        <v>0</v>
      </c>
      <c r="X35" s="1" t="str">
        <f t="shared" si="6"/>
        <v/>
      </c>
      <c r="Y35" s="1">
        <f t="shared" si="7"/>
        <v>14.654000000096858</v>
      </c>
      <c r="Z35" s="1">
        <f t="shared" si="8"/>
        <v>14.654000000096858</v>
      </c>
    </row>
    <row r="36" spans="1:26" x14ac:dyDescent="0.35">
      <c r="A36">
        <v>27</v>
      </c>
      <c r="B36">
        <v>0</v>
      </c>
      <c r="C36">
        <v>2</v>
      </c>
      <c r="D36">
        <v>2025</v>
      </c>
      <c r="E36">
        <v>8</v>
      </c>
      <c r="F36">
        <v>21</v>
      </c>
      <c r="G36">
        <v>0</v>
      </c>
      <c r="H36">
        <v>5</v>
      </c>
      <c r="I36">
        <v>46.445</v>
      </c>
      <c r="J36" s="3">
        <f t="shared" si="4"/>
        <v>1814746.4450000001</v>
      </c>
      <c r="K36" s="1">
        <f t="shared" si="9"/>
        <v>12.841000000014901</v>
      </c>
      <c r="L36" s="1" t="str">
        <f t="shared" si="12"/>
        <v/>
      </c>
      <c r="M36" s="1">
        <f t="shared" si="12"/>
        <v>0</v>
      </c>
      <c r="N36" s="1">
        <f t="shared" si="12"/>
        <v>0</v>
      </c>
      <c r="O36" s="1">
        <f t="shared" si="12"/>
        <v>0</v>
      </c>
      <c r="P36" s="1">
        <f t="shared" si="12"/>
        <v>0</v>
      </c>
      <c r="Q36" s="1">
        <f t="shared" si="12"/>
        <v>0</v>
      </c>
      <c r="R36" s="1">
        <f t="shared" si="12"/>
        <v>0</v>
      </c>
      <c r="S36" s="1">
        <f t="shared" si="12"/>
        <v>0</v>
      </c>
      <c r="T36" s="1">
        <f t="shared" si="12"/>
        <v>0</v>
      </c>
      <c r="U36" s="1">
        <f t="shared" si="10"/>
        <v>0</v>
      </c>
      <c r="X36" s="1" t="str">
        <f t="shared" si="6"/>
        <v/>
      </c>
      <c r="Y36" s="1">
        <f t="shared" si="7"/>
        <v>12.841000000014901</v>
      </c>
      <c r="Z36" s="1">
        <f t="shared" si="8"/>
        <v>12.841000000014901</v>
      </c>
    </row>
    <row r="37" spans="1:26" x14ac:dyDescent="0.35">
      <c r="A37">
        <v>28</v>
      </c>
      <c r="B37">
        <v>1</v>
      </c>
      <c r="C37">
        <v>3</v>
      </c>
      <c r="D37">
        <v>2025</v>
      </c>
      <c r="E37">
        <v>8</v>
      </c>
      <c r="F37">
        <v>21</v>
      </c>
      <c r="G37">
        <v>0</v>
      </c>
      <c r="H37">
        <v>5</v>
      </c>
      <c r="I37">
        <v>57.438000000000002</v>
      </c>
      <c r="J37" s="3">
        <f t="shared" si="4"/>
        <v>1814757.4380000001</v>
      </c>
      <c r="K37" s="1">
        <f t="shared" si="9"/>
        <v>10.993000000016764</v>
      </c>
      <c r="L37" s="1" t="str">
        <f t="shared" si="12"/>
        <v/>
      </c>
      <c r="M37" s="1">
        <f t="shared" si="12"/>
        <v>1</v>
      </c>
      <c r="N37" s="1">
        <f t="shared" si="12"/>
        <v>1</v>
      </c>
      <c r="O37" s="1">
        <f t="shared" si="12"/>
        <v>1</v>
      </c>
      <c r="P37" s="1">
        <f t="shared" si="12"/>
        <v>1</v>
      </c>
      <c r="Q37" s="1">
        <f t="shared" si="12"/>
        <v>1</v>
      </c>
      <c r="R37" s="1">
        <f t="shared" si="12"/>
        <v>1</v>
      </c>
      <c r="S37" s="1">
        <f t="shared" si="12"/>
        <v>1</v>
      </c>
      <c r="T37" s="1">
        <f t="shared" si="12"/>
        <v>1</v>
      </c>
      <c r="U37" s="1">
        <f t="shared" si="10"/>
        <v>1</v>
      </c>
      <c r="X37" s="1" t="str">
        <f t="shared" si="6"/>
        <v/>
      </c>
      <c r="Y37" s="1">
        <f t="shared" si="7"/>
        <v>10.993000000016764</v>
      </c>
      <c r="Z37" s="1">
        <f t="shared" si="8"/>
        <v>10.993000000016764</v>
      </c>
    </row>
    <row r="38" spans="1:26" x14ac:dyDescent="0.35">
      <c r="A38">
        <v>29</v>
      </c>
      <c r="B38">
        <v>0</v>
      </c>
      <c r="C38">
        <v>0</v>
      </c>
      <c r="D38">
        <v>2025</v>
      </c>
      <c r="E38">
        <v>8</v>
      </c>
      <c r="F38">
        <v>21</v>
      </c>
      <c r="G38">
        <v>0</v>
      </c>
      <c r="H38">
        <v>6</v>
      </c>
      <c r="I38">
        <v>11.861000000000001</v>
      </c>
      <c r="J38" s="3">
        <f t="shared" si="4"/>
        <v>1814771.861</v>
      </c>
      <c r="K38" s="1">
        <f t="shared" si="9"/>
        <v>14.422999999951571</v>
      </c>
      <c r="L38" s="1" t="str">
        <f t="shared" si="12"/>
        <v/>
      </c>
      <c r="M38" s="1">
        <f t="shared" si="12"/>
        <v>0</v>
      </c>
      <c r="N38" s="1">
        <f t="shared" si="12"/>
        <v>0</v>
      </c>
      <c r="O38" s="1">
        <f t="shared" si="12"/>
        <v>0</v>
      </c>
      <c r="P38" s="1">
        <f t="shared" si="12"/>
        <v>0</v>
      </c>
      <c r="Q38" s="1">
        <f t="shared" si="12"/>
        <v>0</v>
      </c>
      <c r="R38" s="1">
        <f t="shared" si="12"/>
        <v>0</v>
      </c>
      <c r="S38" s="1">
        <f t="shared" si="12"/>
        <v>0</v>
      </c>
      <c r="T38" s="1">
        <f t="shared" si="12"/>
        <v>0</v>
      </c>
      <c r="U38" s="1">
        <f t="shared" si="10"/>
        <v>0</v>
      </c>
      <c r="X38" s="1" t="str">
        <f t="shared" si="6"/>
        <v/>
      </c>
      <c r="Y38" s="1">
        <f t="shared" si="7"/>
        <v>14.422999999951571</v>
      </c>
      <c r="Z38" s="1">
        <f t="shared" si="8"/>
        <v>14.422999999951571</v>
      </c>
    </row>
    <row r="39" spans="1:26" x14ac:dyDescent="0.35">
      <c r="A39">
        <v>30</v>
      </c>
      <c r="B39">
        <v>1</v>
      </c>
      <c r="C39">
        <v>3</v>
      </c>
      <c r="D39">
        <v>2025</v>
      </c>
      <c r="E39">
        <v>8</v>
      </c>
      <c r="F39">
        <v>21</v>
      </c>
      <c r="G39">
        <v>0</v>
      </c>
      <c r="H39">
        <v>6</v>
      </c>
      <c r="I39">
        <v>22.446999999999999</v>
      </c>
      <c r="J39" s="3">
        <f t="shared" si="4"/>
        <v>1814782.4469999999</v>
      </c>
      <c r="K39" s="1">
        <f t="shared" si="9"/>
        <v>10.585999999893829</v>
      </c>
      <c r="L39" s="1" t="str">
        <f t="shared" si="12"/>
        <v/>
      </c>
      <c r="M39" s="1">
        <f t="shared" si="12"/>
        <v>1</v>
      </c>
      <c r="N39" s="1">
        <f t="shared" si="12"/>
        <v>1</v>
      </c>
      <c r="O39" s="1">
        <f t="shared" si="12"/>
        <v>1</v>
      </c>
      <c r="P39" s="1">
        <f t="shared" si="12"/>
        <v>1</v>
      </c>
      <c r="Q39" s="1">
        <f t="shared" si="12"/>
        <v>1</v>
      </c>
      <c r="R39" s="1">
        <f t="shared" si="12"/>
        <v>1</v>
      </c>
      <c r="S39" s="1">
        <f t="shared" si="12"/>
        <v>1</v>
      </c>
      <c r="T39" s="1">
        <f t="shared" si="12"/>
        <v>1</v>
      </c>
      <c r="U39" s="1">
        <f t="shared" si="10"/>
        <v>1</v>
      </c>
      <c r="X39" s="1" t="str">
        <f t="shared" si="6"/>
        <v/>
      </c>
      <c r="Y39" s="1">
        <f t="shared" si="7"/>
        <v>10.585999999893829</v>
      </c>
      <c r="Z39" s="1">
        <f t="shared" si="8"/>
        <v>10.585999999893829</v>
      </c>
    </row>
    <row r="40" spans="1:26" x14ac:dyDescent="0.35">
      <c r="A40">
        <v>31</v>
      </c>
      <c r="B40">
        <v>0</v>
      </c>
      <c r="C40">
        <v>0</v>
      </c>
      <c r="D40">
        <v>2025</v>
      </c>
      <c r="E40">
        <v>8</v>
      </c>
      <c r="F40">
        <v>21</v>
      </c>
      <c r="G40">
        <v>0</v>
      </c>
      <c r="H40">
        <v>6</v>
      </c>
      <c r="I40">
        <v>35.860999999999997</v>
      </c>
      <c r="J40" s="3">
        <f t="shared" si="4"/>
        <v>1814795.861</v>
      </c>
      <c r="K40" s="1">
        <f t="shared" si="9"/>
        <v>13.414000000106171</v>
      </c>
      <c r="L40" s="1" t="str">
        <f t="shared" si="12"/>
        <v/>
      </c>
      <c r="M40" s="1">
        <f t="shared" si="12"/>
        <v>0</v>
      </c>
      <c r="N40" s="1">
        <f t="shared" si="12"/>
        <v>0</v>
      </c>
      <c r="O40" s="1">
        <f t="shared" si="12"/>
        <v>0</v>
      </c>
      <c r="P40" s="1">
        <f t="shared" si="12"/>
        <v>0</v>
      </c>
      <c r="Q40" s="1">
        <f t="shared" si="12"/>
        <v>0</v>
      </c>
      <c r="R40" s="1">
        <f t="shared" si="12"/>
        <v>0</v>
      </c>
      <c r="S40" s="1">
        <f t="shared" si="12"/>
        <v>0</v>
      </c>
      <c r="T40" s="1">
        <f t="shared" si="12"/>
        <v>0</v>
      </c>
      <c r="U40" s="1">
        <f t="shared" si="10"/>
        <v>0</v>
      </c>
      <c r="X40" s="1" t="str">
        <f t="shared" si="6"/>
        <v/>
      </c>
      <c r="Y40" s="1">
        <f t="shared" si="7"/>
        <v>13.414000000106171</v>
      </c>
      <c r="Z40" s="1">
        <f t="shared" si="8"/>
        <v>13.414000000106171</v>
      </c>
    </row>
    <row r="41" spans="1:26" x14ac:dyDescent="0.35">
      <c r="A41">
        <v>32</v>
      </c>
      <c r="B41">
        <v>1</v>
      </c>
      <c r="C41">
        <v>3</v>
      </c>
      <c r="D41">
        <v>2025</v>
      </c>
      <c r="E41">
        <v>8</v>
      </c>
      <c r="F41">
        <v>21</v>
      </c>
      <c r="G41">
        <v>0</v>
      </c>
      <c r="H41">
        <v>6</v>
      </c>
      <c r="I41">
        <v>48.19</v>
      </c>
      <c r="J41" s="3">
        <f t="shared" si="4"/>
        <v>1814808.19</v>
      </c>
      <c r="K41" s="1">
        <f t="shared" si="9"/>
        <v>12.328999999910593</v>
      </c>
      <c r="L41" s="1" t="str">
        <f t="shared" ref="L41:T50" si="13">IF($K41&lt;L$4,$B41,"")</f>
        <v/>
      </c>
      <c r="M41" s="1">
        <f t="shared" si="13"/>
        <v>1</v>
      </c>
      <c r="N41" s="1">
        <f t="shared" si="13"/>
        <v>1</v>
      </c>
      <c r="O41" s="1">
        <f t="shared" si="13"/>
        <v>1</v>
      </c>
      <c r="P41" s="1">
        <f t="shared" si="13"/>
        <v>1</v>
      </c>
      <c r="Q41" s="1">
        <f t="shared" si="13"/>
        <v>1</v>
      </c>
      <c r="R41" s="1">
        <f t="shared" si="13"/>
        <v>1</v>
      </c>
      <c r="S41" s="1">
        <f t="shared" si="13"/>
        <v>1</v>
      </c>
      <c r="T41" s="1">
        <f t="shared" si="13"/>
        <v>1</v>
      </c>
      <c r="U41" s="1">
        <f t="shared" si="10"/>
        <v>1</v>
      </c>
      <c r="X41" s="1" t="str">
        <f t="shared" si="6"/>
        <v/>
      </c>
      <c r="Y41" s="1">
        <f t="shared" si="7"/>
        <v>12.328999999910593</v>
      </c>
      <c r="Z41" s="1">
        <f t="shared" si="8"/>
        <v>12.328999999910593</v>
      </c>
    </row>
    <row r="42" spans="1:26" x14ac:dyDescent="0.35">
      <c r="A42">
        <v>33</v>
      </c>
      <c r="B42">
        <v>1</v>
      </c>
      <c r="C42">
        <v>3</v>
      </c>
      <c r="D42">
        <v>2025</v>
      </c>
      <c r="E42">
        <v>8</v>
      </c>
      <c r="F42">
        <v>21</v>
      </c>
      <c r="G42">
        <v>0</v>
      </c>
      <c r="H42">
        <v>6</v>
      </c>
      <c r="I42">
        <v>59.62</v>
      </c>
      <c r="J42" s="3">
        <f t="shared" si="4"/>
        <v>1814819.62</v>
      </c>
      <c r="K42" s="1">
        <f t="shared" si="9"/>
        <v>11.430000000167638</v>
      </c>
      <c r="L42" s="1" t="str">
        <f t="shared" si="13"/>
        <v/>
      </c>
      <c r="M42" s="1">
        <f t="shared" si="13"/>
        <v>1</v>
      </c>
      <c r="N42" s="1">
        <f t="shared" si="13"/>
        <v>1</v>
      </c>
      <c r="O42" s="1">
        <f t="shared" si="13"/>
        <v>1</v>
      </c>
      <c r="P42" s="1">
        <f t="shared" si="13"/>
        <v>1</v>
      </c>
      <c r="Q42" s="1">
        <f t="shared" si="13"/>
        <v>1</v>
      </c>
      <c r="R42" s="1">
        <f t="shared" si="13"/>
        <v>1</v>
      </c>
      <c r="S42" s="1">
        <f t="shared" si="13"/>
        <v>1</v>
      </c>
      <c r="T42" s="1">
        <f t="shared" si="13"/>
        <v>1</v>
      </c>
      <c r="U42" s="1">
        <f t="shared" si="10"/>
        <v>1</v>
      </c>
      <c r="X42" s="1" t="str">
        <f t="shared" si="6"/>
        <v/>
      </c>
      <c r="Y42" s="1">
        <f t="shared" si="7"/>
        <v>11.430000000167638</v>
      </c>
      <c r="Z42" s="1">
        <f t="shared" si="8"/>
        <v>11.430000000167638</v>
      </c>
    </row>
    <row r="43" spans="1:26" x14ac:dyDescent="0.35">
      <c r="A43">
        <v>34</v>
      </c>
      <c r="B43">
        <v>1</v>
      </c>
      <c r="C43">
        <v>3</v>
      </c>
      <c r="D43">
        <v>2025</v>
      </c>
      <c r="E43">
        <v>8</v>
      </c>
      <c r="F43">
        <v>21</v>
      </c>
      <c r="G43">
        <v>0</v>
      </c>
      <c r="H43">
        <v>7</v>
      </c>
      <c r="I43">
        <v>11.789</v>
      </c>
      <c r="J43" s="3">
        <f t="shared" si="4"/>
        <v>1814831.7890000001</v>
      </c>
      <c r="K43" s="1">
        <f t="shared" si="9"/>
        <v>12.168999999994412</v>
      </c>
      <c r="L43" s="1" t="str">
        <f t="shared" si="13"/>
        <v/>
      </c>
      <c r="M43" s="1">
        <f t="shared" si="13"/>
        <v>1</v>
      </c>
      <c r="N43" s="1">
        <f t="shared" si="13"/>
        <v>1</v>
      </c>
      <c r="O43" s="1">
        <f t="shared" si="13"/>
        <v>1</v>
      </c>
      <c r="P43" s="1">
        <f t="shared" si="13"/>
        <v>1</v>
      </c>
      <c r="Q43" s="1">
        <f t="shared" si="13"/>
        <v>1</v>
      </c>
      <c r="R43" s="1">
        <f t="shared" si="13"/>
        <v>1</v>
      </c>
      <c r="S43" s="1">
        <f t="shared" si="13"/>
        <v>1</v>
      </c>
      <c r="T43" s="1">
        <f t="shared" si="13"/>
        <v>1</v>
      </c>
      <c r="U43" s="1">
        <f t="shared" si="10"/>
        <v>1</v>
      </c>
      <c r="X43" s="1" t="str">
        <f t="shared" ref="X43:X74" si="14">IF($K43&lt;L$4,$K43,"")</f>
        <v/>
      </c>
      <c r="Y43" s="1">
        <f t="shared" ref="Y43:Y74" si="15">IF($K43&lt;M$4,$K43,"")</f>
        <v>12.168999999994412</v>
      </c>
      <c r="Z43" s="1">
        <f t="shared" ref="Z43:Z74" si="16">IF($K43&lt;N$4,$K43,"")</f>
        <v>12.168999999994412</v>
      </c>
    </row>
    <row r="44" spans="1:26" x14ac:dyDescent="0.35">
      <c r="A44">
        <v>35</v>
      </c>
      <c r="B44">
        <v>1</v>
      </c>
      <c r="C44">
        <v>3</v>
      </c>
      <c r="D44">
        <v>2025</v>
      </c>
      <c r="E44">
        <v>8</v>
      </c>
      <c r="F44">
        <v>21</v>
      </c>
      <c r="G44">
        <v>0</v>
      </c>
      <c r="H44">
        <v>7</v>
      </c>
      <c r="I44">
        <v>22.888000000000002</v>
      </c>
      <c r="J44" s="3">
        <f t="shared" si="4"/>
        <v>1814842.888</v>
      </c>
      <c r="K44" s="1">
        <f t="shared" si="9"/>
        <v>11.098999999929219</v>
      </c>
      <c r="L44" s="1" t="str">
        <f t="shared" si="13"/>
        <v/>
      </c>
      <c r="M44" s="1">
        <f t="shared" si="13"/>
        <v>1</v>
      </c>
      <c r="N44" s="1">
        <f t="shared" si="13"/>
        <v>1</v>
      </c>
      <c r="O44" s="1">
        <f t="shared" si="13"/>
        <v>1</v>
      </c>
      <c r="P44" s="1">
        <f t="shared" si="13"/>
        <v>1</v>
      </c>
      <c r="Q44" s="1">
        <f t="shared" si="13"/>
        <v>1</v>
      </c>
      <c r="R44" s="1">
        <f t="shared" si="13"/>
        <v>1</v>
      </c>
      <c r="S44" s="1">
        <f t="shared" si="13"/>
        <v>1</v>
      </c>
      <c r="T44" s="1">
        <f t="shared" si="13"/>
        <v>1</v>
      </c>
      <c r="U44" s="1">
        <f t="shared" si="10"/>
        <v>1</v>
      </c>
      <c r="X44" s="1" t="str">
        <f t="shared" si="14"/>
        <v/>
      </c>
      <c r="Y44" s="1">
        <f t="shared" si="15"/>
        <v>11.098999999929219</v>
      </c>
      <c r="Z44" s="1">
        <f t="shared" si="16"/>
        <v>11.098999999929219</v>
      </c>
    </row>
    <row r="45" spans="1:26" x14ac:dyDescent="0.35">
      <c r="A45">
        <v>36</v>
      </c>
      <c r="B45">
        <v>1</v>
      </c>
      <c r="C45">
        <v>3</v>
      </c>
      <c r="D45">
        <v>2025</v>
      </c>
      <c r="E45">
        <v>8</v>
      </c>
      <c r="F45">
        <v>21</v>
      </c>
      <c r="G45">
        <v>0</v>
      </c>
      <c r="H45">
        <v>7</v>
      </c>
      <c r="I45">
        <v>31.3</v>
      </c>
      <c r="J45" s="3">
        <f t="shared" si="4"/>
        <v>1814851.3</v>
      </c>
      <c r="K45" s="1">
        <f t="shared" si="9"/>
        <v>8.4120000000111759</v>
      </c>
      <c r="L45" s="1">
        <f t="shared" si="13"/>
        <v>1</v>
      </c>
      <c r="M45" s="1">
        <f t="shared" si="13"/>
        <v>1</v>
      </c>
      <c r="N45" s="1">
        <f t="shared" si="13"/>
        <v>1</v>
      </c>
      <c r="O45" s="1">
        <f t="shared" si="13"/>
        <v>1</v>
      </c>
      <c r="P45" s="1">
        <f t="shared" si="13"/>
        <v>1</v>
      </c>
      <c r="Q45" s="1">
        <f t="shared" si="13"/>
        <v>1</v>
      </c>
      <c r="R45" s="1">
        <f t="shared" si="13"/>
        <v>1</v>
      </c>
      <c r="S45" s="1">
        <f t="shared" si="13"/>
        <v>1</v>
      </c>
      <c r="T45" s="1">
        <f t="shared" si="13"/>
        <v>1</v>
      </c>
      <c r="U45" s="1">
        <f t="shared" si="10"/>
        <v>1</v>
      </c>
      <c r="X45" s="1">
        <f t="shared" si="14"/>
        <v>8.4120000000111759</v>
      </c>
      <c r="Y45" s="1">
        <f t="shared" si="15"/>
        <v>8.4120000000111759</v>
      </c>
      <c r="Z45" s="1">
        <f t="shared" si="16"/>
        <v>8.4120000000111759</v>
      </c>
    </row>
    <row r="46" spans="1:26" x14ac:dyDescent="0.35">
      <c r="A46">
        <v>37</v>
      </c>
      <c r="B46">
        <v>0</v>
      </c>
      <c r="C46">
        <v>0</v>
      </c>
      <c r="D46">
        <v>2025</v>
      </c>
      <c r="E46">
        <v>8</v>
      </c>
      <c r="F46">
        <v>21</v>
      </c>
      <c r="G46">
        <v>0</v>
      </c>
      <c r="H46">
        <v>7</v>
      </c>
      <c r="I46">
        <v>40.685000000000002</v>
      </c>
      <c r="J46" s="3">
        <f t="shared" si="4"/>
        <v>1814860.6850000001</v>
      </c>
      <c r="K46" s="1">
        <f t="shared" si="9"/>
        <v>9.3850000000093132</v>
      </c>
      <c r="L46" s="1">
        <f t="shared" si="13"/>
        <v>0</v>
      </c>
      <c r="M46" s="1">
        <f t="shared" si="13"/>
        <v>0</v>
      </c>
      <c r="N46" s="1">
        <f t="shared" si="13"/>
        <v>0</v>
      </c>
      <c r="O46" s="1">
        <f t="shared" si="13"/>
        <v>0</v>
      </c>
      <c r="P46" s="1">
        <f t="shared" si="13"/>
        <v>0</v>
      </c>
      <c r="Q46" s="1">
        <f t="shared" si="13"/>
        <v>0</v>
      </c>
      <c r="R46" s="1">
        <f t="shared" si="13"/>
        <v>0</v>
      </c>
      <c r="S46" s="1">
        <f t="shared" si="13"/>
        <v>0</v>
      </c>
      <c r="T46" s="1">
        <f t="shared" si="13"/>
        <v>0</v>
      </c>
      <c r="U46" s="1">
        <f t="shared" si="10"/>
        <v>0</v>
      </c>
      <c r="X46" s="1">
        <f t="shared" si="14"/>
        <v>9.3850000000093132</v>
      </c>
      <c r="Y46" s="1">
        <f t="shared" si="15"/>
        <v>9.3850000000093132</v>
      </c>
      <c r="Z46" s="1">
        <f t="shared" si="16"/>
        <v>9.3850000000093132</v>
      </c>
    </row>
    <row r="47" spans="1:26" x14ac:dyDescent="0.35">
      <c r="A47">
        <v>38</v>
      </c>
      <c r="B47">
        <v>1</v>
      </c>
      <c r="C47">
        <v>3</v>
      </c>
      <c r="D47">
        <v>2025</v>
      </c>
      <c r="E47">
        <v>8</v>
      </c>
      <c r="F47">
        <v>21</v>
      </c>
      <c r="G47">
        <v>0</v>
      </c>
      <c r="H47">
        <v>7</v>
      </c>
      <c r="I47">
        <v>57.350999999999999</v>
      </c>
      <c r="J47" s="3">
        <f t="shared" si="4"/>
        <v>1814877.351</v>
      </c>
      <c r="K47" s="1">
        <f t="shared" si="9"/>
        <v>16.665999999968335</v>
      </c>
      <c r="L47" s="1" t="str">
        <f t="shared" si="13"/>
        <v/>
      </c>
      <c r="M47" s="1" t="str">
        <f t="shared" si="13"/>
        <v/>
      </c>
      <c r="N47" s="1">
        <f t="shared" si="13"/>
        <v>1</v>
      </c>
      <c r="O47" s="1">
        <f t="shared" si="13"/>
        <v>1</v>
      </c>
      <c r="P47" s="1">
        <f t="shared" si="13"/>
        <v>1</v>
      </c>
      <c r="Q47" s="1">
        <f t="shared" si="13"/>
        <v>1</v>
      </c>
      <c r="R47" s="1">
        <f t="shared" si="13"/>
        <v>1</v>
      </c>
      <c r="S47" s="1">
        <f t="shared" si="13"/>
        <v>1</v>
      </c>
      <c r="T47" s="1">
        <f t="shared" si="13"/>
        <v>1</v>
      </c>
      <c r="U47" s="1">
        <f t="shared" si="10"/>
        <v>1</v>
      </c>
      <c r="X47" s="1" t="str">
        <f t="shared" si="14"/>
        <v/>
      </c>
      <c r="Y47" s="1" t="str">
        <f t="shared" si="15"/>
        <v/>
      </c>
      <c r="Z47" s="1">
        <f t="shared" si="16"/>
        <v>16.665999999968335</v>
      </c>
    </row>
    <row r="48" spans="1:26" x14ac:dyDescent="0.35">
      <c r="A48">
        <v>39</v>
      </c>
      <c r="B48">
        <v>0</v>
      </c>
      <c r="C48">
        <v>0</v>
      </c>
      <c r="D48">
        <v>2025</v>
      </c>
      <c r="E48">
        <v>8</v>
      </c>
      <c r="F48">
        <v>21</v>
      </c>
      <c r="G48">
        <v>0</v>
      </c>
      <c r="H48">
        <v>8</v>
      </c>
      <c r="I48">
        <v>8.82</v>
      </c>
      <c r="J48" s="3">
        <f t="shared" si="4"/>
        <v>1814888.82</v>
      </c>
      <c r="K48" s="1">
        <f t="shared" si="9"/>
        <v>11.469000000040978</v>
      </c>
      <c r="L48" s="1" t="str">
        <f t="shared" si="13"/>
        <v/>
      </c>
      <c r="M48" s="1">
        <f t="shared" si="13"/>
        <v>0</v>
      </c>
      <c r="N48" s="1">
        <f t="shared" si="13"/>
        <v>0</v>
      </c>
      <c r="O48" s="1">
        <f t="shared" si="13"/>
        <v>0</v>
      </c>
      <c r="P48" s="1">
        <f t="shared" si="13"/>
        <v>0</v>
      </c>
      <c r="Q48" s="1">
        <f t="shared" si="13"/>
        <v>0</v>
      </c>
      <c r="R48" s="1">
        <f t="shared" si="13"/>
        <v>0</v>
      </c>
      <c r="S48" s="1">
        <f t="shared" si="13"/>
        <v>0</v>
      </c>
      <c r="T48" s="1">
        <f t="shared" si="13"/>
        <v>0</v>
      </c>
      <c r="U48" s="1">
        <f t="shared" si="10"/>
        <v>0</v>
      </c>
      <c r="X48" s="1" t="str">
        <f t="shared" si="14"/>
        <v/>
      </c>
      <c r="Y48" s="1">
        <f t="shared" si="15"/>
        <v>11.469000000040978</v>
      </c>
      <c r="Z48" s="1">
        <f t="shared" si="16"/>
        <v>11.469000000040978</v>
      </c>
    </row>
    <row r="49" spans="1:26" x14ac:dyDescent="0.35">
      <c r="A49">
        <v>40</v>
      </c>
      <c r="B49">
        <v>0</v>
      </c>
      <c r="C49">
        <v>0</v>
      </c>
      <c r="D49">
        <v>2025</v>
      </c>
      <c r="E49">
        <v>8</v>
      </c>
      <c r="F49">
        <v>21</v>
      </c>
      <c r="G49">
        <v>0</v>
      </c>
      <c r="H49">
        <v>8</v>
      </c>
      <c r="I49">
        <v>18.98</v>
      </c>
      <c r="J49" s="3">
        <f t="shared" si="4"/>
        <v>1814898.98</v>
      </c>
      <c r="K49" s="1">
        <f t="shared" si="9"/>
        <v>10.159999999916181</v>
      </c>
      <c r="L49" s="1" t="str">
        <f t="shared" si="13"/>
        <v/>
      </c>
      <c r="M49" s="1">
        <f t="shared" si="13"/>
        <v>0</v>
      </c>
      <c r="N49" s="1">
        <f t="shared" si="13"/>
        <v>0</v>
      </c>
      <c r="O49" s="1">
        <f t="shared" si="13"/>
        <v>0</v>
      </c>
      <c r="P49" s="1">
        <f t="shared" si="13"/>
        <v>0</v>
      </c>
      <c r="Q49" s="1">
        <f t="shared" si="13"/>
        <v>0</v>
      </c>
      <c r="R49" s="1">
        <f t="shared" si="13"/>
        <v>0</v>
      </c>
      <c r="S49" s="1">
        <f t="shared" si="13"/>
        <v>0</v>
      </c>
      <c r="T49" s="1">
        <f t="shared" si="13"/>
        <v>0</v>
      </c>
      <c r="U49" s="1">
        <f t="shared" si="10"/>
        <v>0</v>
      </c>
      <c r="X49" s="1" t="str">
        <f t="shared" si="14"/>
        <v/>
      </c>
      <c r="Y49" s="1">
        <f t="shared" si="15"/>
        <v>10.159999999916181</v>
      </c>
      <c r="Z49" s="1">
        <f t="shared" si="16"/>
        <v>10.159999999916181</v>
      </c>
    </row>
    <row r="50" spans="1:26" x14ac:dyDescent="0.35">
      <c r="A50">
        <v>41</v>
      </c>
      <c r="B50">
        <v>1</v>
      </c>
      <c r="C50">
        <v>3</v>
      </c>
      <c r="D50">
        <v>2025</v>
      </c>
      <c r="E50">
        <v>8</v>
      </c>
      <c r="F50">
        <v>21</v>
      </c>
      <c r="G50">
        <v>0</v>
      </c>
      <c r="H50">
        <v>8</v>
      </c>
      <c r="I50">
        <v>28.518999999999998</v>
      </c>
      <c r="J50" s="3">
        <f t="shared" si="4"/>
        <v>1814908.5190000001</v>
      </c>
      <c r="K50" s="1">
        <f t="shared" si="9"/>
        <v>9.5390000001061708</v>
      </c>
      <c r="L50" s="1">
        <f t="shared" si="13"/>
        <v>1</v>
      </c>
      <c r="M50" s="1">
        <f t="shared" si="13"/>
        <v>1</v>
      </c>
      <c r="N50" s="1">
        <f t="shared" si="13"/>
        <v>1</v>
      </c>
      <c r="O50" s="1">
        <f t="shared" si="13"/>
        <v>1</v>
      </c>
      <c r="P50" s="1">
        <f t="shared" si="13"/>
        <v>1</v>
      </c>
      <c r="Q50" s="1">
        <f t="shared" si="13"/>
        <v>1</v>
      </c>
      <c r="R50" s="1">
        <f t="shared" si="13"/>
        <v>1</v>
      </c>
      <c r="S50" s="1">
        <f t="shared" si="13"/>
        <v>1</v>
      </c>
      <c r="T50" s="1">
        <f t="shared" si="13"/>
        <v>1</v>
      </c>
      <c r="U50" s="1">
        <f t="shared" si="10"/>
        <v>1</v>
      </c>
      <c r="X50" s="1">
        <f t="shared" si="14"/>
        <v>9.5390000001061708</v>
      </c>
      <c r="Y50" s="1">
        <f t="shared" si="15"/>
        <v>9.5390000001061708</v>
      </c>
      <c r="Z50" s="1">
        <f t="shared" si="16"/>
        <v>9.5390000001061708</v>
      </c>
    </row>
    <row r="51" spans="1:26" x14ac:dyDescent="0.35">
      <c r="A51">
        <v>42</v>
      </c>
      <c r="B51">
        <v>1</v>
      </c>
      <c r="C51">
        <v>3</v>
      </c>
      <c r="D51">
        <v>2025</v>
      </c>
      <c r="E51">
        <v>8</v>
      </c>
      <c r="F51">
        <v>21</v>
      </c>
      <c r="G51">
        <v>0</v>
      </c>
      <c r="H51">
        <v>8</v>
      </c>
      <c r="I51">
        <v>44.545999999999999</v>
      </c>
      <c r="J51" s="3">
        <f t="shared" si="4"/>
        <v>1814924.5460000001</v>
      </c>
      <c r="K51" s="1">
        <f t="shared" si="9"/>
        <v>16.027000000001863</v>
      </c>
      <c r="L51" s="1" t="str">
        <f t="shared" ref="L51:T60" si="17">IF($K51&lt;L$4,$B51,"")</f>
        <v/>
      </c>
      <c r="M51" s="1" t="str">
        <f t="shared" si="17"/>
        <v/>
      </c>
      <c r="N51" s="1">
        <f t="shared" si="17"/>
        <v>1</v>
      </c>
      <c r="O51" s="1">
        <f t="shared" si="17"/>
        <v>1</v>
      </c>
      <c r="P51" s="1">
        <f t="shared" si="17"/>
        <v>1</v>
      </c>
      <c r="Q51" s="1">
        <f t="shared" si="17"/>
        <v>1</v>
      </c>
      <c r="R51" s="1">
        <f t="shared" si="17"/>
        <v>1</v>
      </c>
      <c r="S51" s="1">
        <f t="shared" si="17"/>
        <v>1</v>
      </c>
      <c r="T51" s="1">
        <f t="shared" si="17"/>
        <v>1</v>
      </c>
      <c r="U51" s="1">
        <f t="shared" si="10"/>
        <v>1</v>
      </c>
      <c r="X51" s="1" t="str">
        <f t="shared" si="14"/>
        <v/>
      </c>
      <c r="Y51" s="1" t="str">
        <f t="shared" si="15"/>
        <v/>
      </c>
      <c r="Z51" s="1">
        <f t="shared" si="16"/>
        <v>16.027000000001863</v>
      </c>
    </row>
    <row r="52" spans="1:26" x14ac:dyDescent="0.35">
      <c r="A52">
        <v>43</v>
      </c>
      <c r="B52">
        <v>0</v>
      </c>
      <c r="C52">
        <v>0</v>
      </c>
      <c r="D52">
        <v>2025</v>
      </c>
      <c r="E52">
        <v>8</v>
      </c>
      <c r="F52">
        <v>21</v>
      </c>
      <c r="G52">
        <v>0</v>
      </c>
      <c r="H52">
        <v>8</v>
      </c>
      <c r="I52">
        <v>59.24</v>
      </c>
      <c r="J52" s="3">
        <f t="shared" si="4"/>
        <v>1814939.24</v>
      </c>
      <c r="K52" s="1">
        <f t="shared" si="9"/>
        <v>14.69399999990128</v>
      </c>
      <c r="L52" s="1" t="str">
        <f t="shared" si="17"/>
        <v/>
      </c>
      <c r="M52" s="1">
        <f t="shared" si="17"/>
        <v>0</v>
      </c>
      <c r="N52" s="1">
        <f t="shared" si="17"/>
        <v>0</v>
      </c>
      <c r="O52" s="1">
        <f t="shared" si="17"/>
        <v>0</v>
      </c>
      <c r="P52" s="1">
        <f t="shared" si="17"/>
        <v>0</v>
      </c>
      <c r="Q52" s="1">
        <f t="shared" si="17"/>
        <v>0</v>
      </c>
      <c r="R52" s="1">
        <f t="shared" si="17"/>
        <v>0</v>
      </c>
      <c r="S52" s="1">
        <f t="shared" si="17"/>
        <v>0</v>
      </c>
      <c r="T52" s="1">
        <f t="shared" si="17"/>
        <v>0</v>
      </c>
      <c r="U52" s="1">
        <f t="shared" si="10"/>
        <v>0</v>
      </c>
      <c r="X52" s="1" t="str">
        <f t="shared" si="14"/>
        <v/>
      </c>
      <c r="Y52" s="1">
        <f t="shared" si="15"/>
        <v>14.69399999990128</v>
      </c>
      <c r="Z52" s="1">
        <f t="shared" si="16"/>
        <v>14.69399999990128</v>
      </c>
    </row>
    <row r="53" spans="1:26" x14ac:dyDescent="0.35">
      <c r="A53">
        <v>44</v>
      </c>
      <c r="B53">
        <v>1</v>
      </c>
      <c r="C53">
        <v>3</v>
      </c>
      <c r="D53">
        <v>2025</v>
      </c>
      <c r="E53">
        <v>8</v>
      </c>
      <c r="F53">
        <v>21</v>
      </c>
      <c r="G53">
        <v>0</v>
      </c>
      <c r="H53">
        <v>9</v>
      </c>
      <c r="I53">
        <v>9.4480000000000004</v>
      </c>
      <c r="J53" s="3">
        <f t="shared" si="4"/>
        <v>1814949.4480000001</v>
      </c>
      <c r="K53" s="1">
        <f t="shared" si="9"/>
        <v>10.208000000100583</v>
      </c>
      <c r="L53" s="1" t="str">
        <f t="shared" si="17"/>
        <v/>
      </c>
      <c r="M53" s="1">
        <f t="shared" si="17"/>
        <v>1</v>
      </c>
      <c r="N53" s="1">
        <f t="shared" si="17"/>
        <v>1</v>
      </c>
      <c r="O53" s="1">
        <f t="shared" si="17"/>
        <v>1</v>
      </c>
      <c r="P53" s="1">
        <f t="shared" si="17"/>
        <v>1</v>
      </c>
      <c r="Q53" s="1">
        <f t="shared" si="17"/>
        <v>1</v>
      </c>
      <c r="R53" s="1">
        <f t="shared" si="17"/>
        <v>1</v>
      </c>
      <c r="S53" s="1">
        <f t="shared" si="17"/>
        <v>1</v>
      </c>
      <c r="T53" s="1">
        <f t="shared" si="17"/>
        <v>1</v>
      </c>
      <c r="U53" s="1">
        <f t="shared" si="10"/>
        <v>1</v>
      </c>
      <c r="X53" s="1" t="str">
        <f t="shared" si="14"/>
        <v/>
      </c>
      <c r="Y53" s="1">
        <f t="shared" si="15"/>
        <v>10.208000000100583</v>
      </c>
      <c r="Z53" s="1">
        <f t="shared" si="16"/>
        <v>10.208000000100583</v>
      </c>
    </row>
    <row r="54" spans="1:26" x14ac:dyDescent="0.35">
      <c r="A54">
        <v>45</v>
      </c>
      <c r="B54">
        <v>1</v>
      </c>
      <c r="C54">
        <v>3</v>
      </c>
      <c r="D54">
        <v>2025</v>
      </c>
      <c r="E54">
        <v>8</v>
      </c>
      <c r="F54">
        <v>21</v>
      </c>
      <c r="G54">
        <v>0</v>
      </c>
      <c r="H54">
        <v>9</v>
      </c>
      <c r="I54">
        <v>22.957999999999998</v>
      </c>
      <c r="J54" s="3">
        <f t="shared" si="4"/>
        <v>1814962.9580000001</v>
      </c>
      <c r="K54" s="1">
        <f t="shared" si="9"/>
        <v>13.510000000009313</v>
      </c>
      <c r="L54" s="1" t="str">
        <f t="shared" si="17"/>
        <v/>
      </c>
      <c r="M54" s="1">
        <f t="shared" si="17"/>
        <v>1</v>
      </c>
      <c r="N54" s="1">
        <f t="shared" si="17"/>
        <v>1</v>
      </c>
      <c r="O54" s="1">
        <f t="shared" si="17"/>
        <v>1</v>
      </c>
      <c r="P54" s="1">
        <f t="shared" si="17"/>
        <v>1</v>
      </c>
      <c r="Q54" s="1">
        <f t="shared" si="17"/>
        <v>1</v>
      </c>
      <c r="R54" s="1">
        <f t="shared" si="17"/>
        <v>1</v>
      </c>
      <c r="S54" s="1">
        <f t="shared" si="17"/>
        <v>1</v>
      </c>
      <c r="T54" s="1">
        <f t="shared" si="17"/>
        <v>1</v>
      </c>
      <c r="U54" s="1">
        <f t="shared" si="10"/>
        <v>1</v>
      </c>
      <c r="X54" s="1" t="str">
        <f t="shared" si="14"/>
        <v/>
      </c>
      <c r="Y54" s="1">
        <f t="shared" si="15"/>
        <v>13.510000000009313</v>
      </c>
      <c r="Z54" s="1">
        <f t="shared" si="16"/>
        <v>13.510000000009313</v>
      </c>
    </row>
    <row r="55" spans="1:26" x14ac:dyDescent="0.35">
      <c r="A55">
        <v>46</v>
      </c>
      <c r="B55">
        <v>1</v>
      </c>
      <c r="C55">
        <v>3</v>
      </c>
      <c r="D55">
        <v>2025</v>
      </c>
      <c r="E55">
        <v>8</v>
      </c>
      <c r="F55">
        <v>21</v>
      </c>
      <c r="G55">
        <v>0</v>
      </c>
      <c r="H55">
        <v>9</v>
      </c>
      <c r="I55">
        <v>31.774999999999999</v>
      </c>
      <c r="J55" s="3">
        <f t="shared" si="4"/>
        <v>1814971.7749999999</v>
      </c>
      <c r="K55" s="1">
        <f t="shared" si="9"/>
        <v>8.8169999998062849</v>
      </c>
      <c r="L55" s="1">
        <f t="shared" si="17"/>
        <v>1</v>
      </c>
      <c r="M55" s="1">
        <f t="shared" si="17"/>
        <v>1</v>
      </c>
      <c r="N55" s="1">
        <f t="shared" si="17"/>
        <v>1</v>
      </c>
      <c r="O55" s="1">
        <f t="shared" si="17"/>
        <v>1</v>
      </c>
      <c r="P55" s="1">
        <f t="shared" si="17"/>
        <v>1</v>
      </c>
      <c r="Q55" s="1">
        <f t="shared" si="17"/>
        <v>1</v>
      </c>
      <c r="R55" s="1">
        <f t="shared" si="17"/>
        <v>1</v>
      </c>
      <c r="S55" s="1">
        <f t="shared" si="17"/>
        <v>1</v>
      </c>
      <c r="T55" s="1">
        <f t="shared" si="17"/>
        <v>1</v>
      </c>
      <c r="U55" s="1">
        <f t="shared" si="10"/>
        <v>1</v>
      </c>
      <c r="X55" s="1">
        <f t="shared" si="14"/>
        <v>8.8169999998062849</v>
      </c>
      <c r="Y55" s="1">
        <f t="shared" si="15"/>
        <v>8.8169999998062849</v>
      </c>
      <c r="Z55" s="1">
        <f t="shared" si="16"/>
        <v>8.8169999998062849</v>
      </c>
    </row>
    <row r="56" spans="1:26" x14ac:dyDescent="0.35">
      <c r="A56">
        <v>47</v>
      </c>
      <c r="B56">
        <v>1</v>
      </c>
      <c r="C56">
        <v>3</v>
      </c>
      <c r="D56">
        <v>2025</v>
      </c>
      <c r="E56">
        <v>8</v>
      </c>
      <c r="F56">
        <v>21</v>
      </c>
      <c r="G56">
        <v>0</v>
      </c>
      <c r="H56">
        <v>9</v>
      </c>
      <c r="I56">
        <v>45.853999999999999</v>
      </c>
      <c r="J56" s="3">
        <f t="shared" si="4"/>
        <v>1814985.8540000001</v>
      </c>
      <c r="K56" s="1">
        <f t="shared" si="9"/>
        <v>14.079000000143424</v>
      </c>
      <c r="L56" s="1" t="str">
        <f t="shared" si="17"/>
        <v/>
      </c>
      <c r="M56" s="1">
        <f t="shared" si="17"/>
        <v>1</v>
      </c>
      <c r="N56" s="1">
        <f t="shared" si="17"/>
        <v>1</v>
      </c>
      <c r="O56" s="1">
        <f t="shared" si="17"/>
        <v>1</v>
      </c>
      <c r="P56" s="1">
        <f t="shared" si="17"/>
        <v>1</v>
      </c>
      <c r="Q56" s="1">
        <f t="shared" si="17"/>
        <v>1</v>
      </c>
      <c r="R56" s="1">
        <f t="shared" si="17"/>
        <v>1</v>
      </c>
      <c r="S56" s="1">
        <f t="shared" si="17"/>
        <v>1</v>
      </c>
      <c r="T56" s="1">
        <f t="shared" si="17"/>
        <v>1</v>
      </c>
      <c r="U56" s="1">
        <f t="shared" si="10"/>
        <v>1</v>
      </c>
      <c r="X56" s="1" t="str">
        <f t="shared" si="14"/>
        <v/>
      </c>
      <c r="Y56" s="1">
        <f t="shared" si="15"/>
        <v>14.079000000143424</v>
      </c>
      <c r="Z56" s="1">
        <f t="shared" si="16"/>
        <v>14.079000000143424</v>
      </c>
    </row>
    <row r="57" spans="1:26" x14ac:dyDescent="0.35">
      <c r="A57">
        <v>48</v>
      </c>
      <c r="B57">
        <v>1</v>
      </c>
      <c r="C57">
        <v>3</v>
      </c>
      <c r="D57">
        <v>2025</v>
      </c>
      <c r="E57">
        <v>8</v>
      </c>
      <c r="F57">
        <v>21</v>
      </c>
      <c r="G57">
        <v>0</v>
      </c>
      <c r="H57">
        <v>9</v>
      </c>
      <c r="I57">
        <v>56.255000000000003</v>
      </c>
      <c r="J57" s="3">
        <f t="shared" si="4"/>
        <v>1814996.2549999999</v>
      </c>
      <c r="K57" s="1">
        <f t="shared" si="9"/>
        <v>10.40099999983795</v>
      </c>
      <c r="L57" s="1" t="str">
        <f t="shared" si="17"/>
        <v/>
      </c>
      <c r="M57" s="1">
        <f t="shared" si="17"/>
        <v>1</v>
      </c>
      <c r="N57" s="1">
        <f t="shared" si="17"/>
        <v>1</v>
      </c>
      <c r="O57" s="1">
        <f t="shared" si="17"/>
        <v>1</v>
      </c>
      <c r="P57" s="1">
        <f t="shared" si="17"/>
        <v>1</v>
      </c>
      <c r="Q57" s="1">
        <f t="shared" si="17"/>
        <v>1</v>
      </c>
      <c r="R57" s="1">
        <f t="shared" si="17"/>
        <v>1</v>
      </c>
      <c r="S57" s="1">
        <f t="shared" si="17"/>
        <v>1</v>
      </c>
      <c r="T57" s="1">
        <f t="shared" si="17"/>
        <v>1</v>
      </c>
      <c r="U57" s="1">
        <f t="shared" si="10"/>
        <v>1</v>
      </c>
      <c r="X57" s="1" t="str">
        <f t="shared" si="14"/>
        <v/>
      </c>
      <c r="Y57" s="1">
        <f t="shared" si="15"/>
        <v>10.40099999983795</v>
      </c>
      <c r="Z57" s="1">
        <f t="shared" si="16"/>
        <v>10.40099999983795</v>
      </c>
    </row>
    <row r="58" spans="1:26" x14ac:dyDescent="0.35">
      <c r="A58">
        <v>49</v>
      </c>
      <c r="B58">
        <v>0</v>
      </c>
      <c r="C58">
        <v>3</v>
      </c>
      <c r="D58">
        <v>2025</v>
      </c>
      <c r="E58">
        <v>8</v>
      </c>
      <c r="F58">
        <v>21</v>
      </c>
      <c r="G58">
        <v>0</v>
      </c>
      <c r="H58">
        <v>10</v>
      </c>
      <c r="I58">
        <v>5.2960000000000003</v>
      </c>
      <c r="J58" s="3">
        <f t="shared" si="4"/>
        <v>1815005.2960000001</v>
      </c>
      <c r="K58" s="1">
        <f t="shared" si="9"/>
        <v>9.0410000002011657</v>
      </c>
      <c r="L58" s="1">
        <f t="shared" si="17"/>
        <v>0</v>
      </c>
      <c r="M58" s="1">
        <f t="shared" si="17"/>
        <v>0</v>
      </c>
      <c r="N58" s="1">
        <f t="shared" si="17"/>
        <v>0</v>
      </c>
      <c r="O58" s="1">
        <f t="shared" si="17"/>
        <v>0</v>
      </c>
      <c r="P58" s="1">
        <f t="shared" si="17"/>
        <v>0</v>
      </c>
      <c r="Q58" s="1">
        <f t="shared" si="17"/>
        <v>0</v>
      </c>
      <c r="R58" s="1">
        <f t="shared" si="17"/>
        <v>0</v>
      </c>
      <c r="S58" s="1">
        <f t="shared" si="17"/>
        <v>0</v>
      </c>
      <c r="T58" s="1">
        <f t="shared" si="17"/>
        <v>0</v>
      </c>
      <c r="U58" s="1">
        <f t="shared" si="10"/>
        <v>0</v>
      </c>
      <c r="X58" s="1">
        <f t="shared" si="14"/>
        <v>9.0410000002011657</v>
      </c>
      <c r="Y58" s="1">
        <f t="shared" si="15"/>
        <v>9.0410000002011657</v>
      </c>
      <c r="Z58" s="1">
        <f t="shared" si="16"/>
        <v>9.0410000002011657</v>
      </c>
    </row>
    <row r="59" spans="1:26" x14ac:dyDescent="0.35">
      <c r="A59">
        <v>50</v>
      </c>
      <c r="B59">
        <v>0</v>
      </c>
      <c r="C59">
        <v>3</v>
      </c>
      <c r="D59">
        <v>2025</v>
      </c>
      <c r="E59">
        <v>8</v>
      </c>
      <c r="F59">
        <v>21</v>
      </c>
      <c r="G59">
        <v>0</v>
      </c>
      <c r="H59">
        <v>10</v>
      </c>
      <c r="I59">
        <v>17.98</v>
      </c>
      <c r="J59" s="3">
        <f t="shared" si="4"/>
        <v>1815017.98</v>
      </c>
      <c r="K59" s="1">
        <f t="shared" si="9"/>
        <v>12.683999999891967</v>
      </c>
      <c r="L59" s="1" t="str">
        <f t="shared" si="17"/>
        <v/>
      </c>
      <c r="M59" s="1">
        <f t="shared" si="17"/>
        <v>0</v>
      </c>
      <c r="N59" s="1">
        <f t="shared" si="17"/>
        <v>0</v>
      </c>
      <c r="O59" s="1">
        <f t="shared" si="17"/>
        <v>0</v>
      </c>
      <c r="P59" s="1">
        <f t="shared" si="17"/>
        <v>0</v>
      </c>
      <c r="Q59" s="1">
        <f t="shared" si="17"/>
        <v>0</v>
      </c>
      <c r="R59" s="1">
        <f t="shared" si="17"/>
        <v>0</v>
      </c>
      <c r="S59" s="1">
        <f t="shared" si="17"/>
        <v>0</v>
      </c>
      <c r="T59" s="1">
        <f t="shared" si="17"/>
        <v>0</v>
      </c>
      <c r="U59" s="1">
        <f t="shared" si="10"/>
        <v>0</v>
      </c>
      <c r="X59" s="1" t="str">
        <f t="shared" si="14"/>
        <v/>
      </c>
      <c r="Y59" s="1">
        <f t="shared" si="15"/>
        <v>12.683999999891967</v>
      </c>
      <c r="Z59" s="1">
        <f t="shared" si="16"/>
        <v>12.683999999891967</v>
      </c>
    </row>
    <row r="60" spans="1:26" x14ac:dyDescent="0.35">
      <c r="A60">
        <v>51</v>
      </c>
      <c r="B60">
        <v>0</v>
      </c>
      <c r="C60">
        <v>3</v>
      </c>
      <c r="D60">
        <v>2025</v>
      </c>
      <c r="E60">
        <v>8</v>
      </c>
      <c r="F60">
        <v>21</v>
      </c>
      <c r="G60">
        <v>0</v>
      </c>
      <c r="H60">
        <v>10</v>
      </c>
      <c r="I60">
        <v>34.728000000000002</v>
      </c>
      <c r="J60" s="3">
        <f t="shared" si="4"/>
        <v>1815034.7279999999</v>
      </c>
      <c r="K60" s="1">
        <f t="shared" si="9"/>
        <v>16.747999999905005</v>
      </c>
      <c r="L60" s="1" t="str">
        <f t="shared" si="17"/>
        <v/>
      </c>
      <c r="M60" s="1" t="str">
        <f t="shared" si="17"/>
        <v/>
      </c>
      <c r="N60" s="1">
        <f t="shared" si="17"/>
        <v>0</v>
      </c>
      <c r="O60" s="1">
        <f t="shared" si="17"/>
        <v>0</v>
      </c>
      <c r="P60" s="1">
        <f t="shared" si="17"/>
        <v>0</v>
      </c>
      <c r="Q60" s="1">
        <f t="shared" si="17"/>
        <v>0</v>
      </c>
      <c r="R60" s="1">
        <f t="shared" si="17"/>
        <v>0</v>
      </c>
      <c r="S60" s="1">
        <f t="shared" si="17"/>
        <v>0</v>
      </c>
      <c r="T60" s="1">
        <f t="shared" si="17"/>
        <v>0</v>
      </c>
      <c r="U60" s="1">
        <f t="shared" si="10"/>
        <v>0</v>
      </c>
      <c r="X60" s="1" t="str">
        <f t="shared" si="14"/>
        <v/>
      </c>
      <c r="Y60" s="1" t="str">
        <f t="shared" si="15"/>
        <v/>
      </c>
      <c r="Z60" s="1">
        <f t="shared" si="16"/>
        <v>16.747999999905005</v>
      </c>
    </row>
    <row r="61" spans="1:26" x14ac:dyDescent="0.35">
      <c r="A61">
        <v>52</v>
      </c>
      <c r="B61">
        <v>0</v>
      </c>
      <c r="C61">
        <v>3</v>
      </c>
      <c r="D61">
        <v>2025</v>
      </c>
      <c r="E61">
        <v>8</v>
      </c>
      <c r="F61">
        <v>21</v>
      </c>
      <c r="G61">
        <v>0</v>
      </c>
      <c r="H61">
        <v>10</v>
      </c>
      <c r="I61">
        <v>48.642000000000003</v>
      </c>
      <c r="J61" s="3">
        <f t="shared" si="4"/>
        <v>1815048.642</v>
      </c>
      <c r="K61" s="1">
        <f t="shared" si="9"/>
        <v>13.914000000106171</v>
      </c>
      <c r="L61" s="1" t="str">
        <f t="shared" ref="L61:T70" si="18">IF($K61&lt;L$4,$B61,"")</f>
        <v/>
      </c>
      <c r="M61" s="1">
        <f t="shared" si="18"/>
        <v>0</v>
      </c>
      <c r="N61" s="1">
        <f t="shared" si="18"/>
        <v>0</v>
      </c>
      <c r="O61" s="1">
        <f t="shared" si="18"/>
        <v>0</v>
      </c>
      <c r="P61" s="1">
        <f t="shared" si="18"/>
        <v>0</v>
      </c>
      <c r="Q61" s="1">
        <f t="shared" si="18"/>
        <v>0</v>
      </c>
      <c r="R61" s="1">
        <f t="shared" si="18"/>
        <v>0</v>
      </c>
      <c r="S61" s="1">
        <f t="shared" si="18"/>
        <v>0</v>
      </c>
      <c r="T61" s="1">
        <f t="shared" si="18"/>
        <v>0</v>
      </c>
      <c r="U61" s="1">
        <f t="shared" si="10"/>
        <v>0</v>
      </c>
      <c r="X61" s="1" t="str">
        <f t="shared" si="14"/>
        <v/>
      </c>
      <c r="Y61" s="1">
        <f t="shared" si="15"/>
        <v>13.914000000106171</v>
      </c>
      <c r="Z61" s="1">
        <f t="shared" si="16"/>
        <v>13.914000000106171</v>
      </c>
    </row>
    <row r="62" spans="1:26" x14ac:dyDescent="0.35">
      <c r="A62">
        <v>53</v>
      </c>
      <c r="B62">
        <v>1</v>
      </c>
      <c r="C62">
        <v>0</v>
      </c>
      <c r="D62">
        <v>2025</v>
      </c>
      <c r="E62">
        <v>8</v>
      </c>
      <c r="F62">
        <v>21</v>
      </c>
      <c r="G62">
        <v>0</v>
      </c>
      <c r="H62">
        <v>18</v>
      </c>
      <c r="I62">
        <v>27.812000000000001</v>
      </c>
      <c r="J62" s="3">
        <f t="shared" si="4"/>
        <v>1815507.8119999999</v>
      </c>
      <c r="K62" s="1">
        <f t="shared" si="9"/>
        <v>459.16999999992549</v>
      </c>
      <c r="L62" s="1" t="str">
        <f t="shared" si="18"/>
        <v/>
      </c>
      <c r="M62" s="1" t="str">
        <f t="shared" si="18"/>
        <v/>
      </c>
      <c r="N62" s="1" t="str">
        <f t="shared" si="18"/>
        <v/>
      </c>
      <c r="O62" s="1" t="str">
        <f t="shared" si="18"/>
        <v/>
      </c>
      <c r="P62" s="1" t="str">
        <f t="shared" si="18"/>
        <v/>
      </c>
      <c r="Q62" s="1" t="str">
        <f t="shared" si="18"/>
        <v/>
      </c>
      <c r="R62" s="1" t="str">
        <f t="shared" si="18"/>
        <v/>
      </c>
      <c r="S62" s="1" t="str">
        <f t="shared" si="18"/>
        <v/>
      </c>
      <c r="T62" s="1" t="str">
        <f t="shared" si="18"/>
        <v/>
      </c>
      <c r="U62" s="1">
        <f t="shared" si="10"/>
        <v>1</v>
      </c>
      <c r="X62" s="1" t="str">
        <f t="shared" si="14"/>
        <v/>
      </c>
      <c r="Y62" s="1" t="str">
        <f t="shared" si="15"/>
        <v/>
      </c>
      <c r="Z62" s="1" t="str">
        <f t="shared" si="16"/>
        <v/>
      </c>
    </row>
    <row r="63" spans="1:26" x14ac:dyDescent="0.35">
      <c r="A63">
        <v>54</v>
      </c>
      <c r="B63">
        <v>1</v>
      </c>
      <c r="C63">
        <v>0</v>
      </c>
      <c r="D63">
        <v>2025</v>
      </c>
      <c r="E63">
        <v>8</v>
      </c>
      <c r="F63">
        <v>21</v>
      </c>
      <c r="G63">
        <v>0</v>
      </c>
      <c r="H63">
        <v>18</v>
      </c>
      <c r="I63">
        <v>37.573999999999998</v>
      </c>
      <c r="J63" s="3">
        <f t="shared" si="4"/>
        <v>1815517.574</v>
      </c>
      <c r="K63" s="1">
        <f t="shared" si="9"/>
        <v>9.7620000001043081</v>
      </c>
      <c r="L63" s="1">
        <f t="shared" si="18"/>
        <v>1</v>
      </c>
      <c r="M63" s="1">
        <f t="shared" si="18"/>
        <v>1</v>
      </c>
      <c r="N63" s="1">
        <f t="shared" si="18"/>
        <v>1</v>
      </c>
      <c r="O63" s="1">
        <f t="shared" si="18"/>
        <v>1</v>
      </c>
      <c r="P63" s="1">
        <f t="shared" si="18"/>
        <v>1</v>
      </c>
      <c r="Q63" s="1">
        <f t="shared" si="18"/>
        <v>1</v>
      </c>
      <c r="R63" s="1">
        <f t="shared" si="18"/>
        <v>1</v>
      </c>
      <c r="S63" s="1">
        <f t="shared" si="18"/>
        <v>1</v>
      </c>
      <c r="T63" s="1">
        <f t="shared" si="18"/>
        <v>1</v>
      </c>
      <c r="U63" s="1">
        <f t="shared" si="10"/>
        <v>1</v>
      </c>
      <c r="X63" s="1">
        <f t="shared" si="14"/>
        <v>9.7620000001043081</v>
      </c>
      <c r="Y63" s="1">
        <f t="shared" si="15"/>
        <v>9.7620000001043081</v>
      </c>
      <c r="Z63" s="1">
        <f t="shared" si="16"/>
        <v>9.7620000001043081</v>
      </c>
    </row>
    <row r="64" spans="1:26" x14ac:dyDescent="0.35">
      <c r="A64">
        <v>55</v>
      </c>
      <c r="B64">
        <v>1</v>
      </c>
      <c r="C64">
        <v>0</v>
      </c>
      <c r="D64">
        <v>2025</v>
      </c>
      <c r="E64">
        <v>8</v>
      </c>
      <c r="F64">
        <v>21</v>
      </c>
      <c r="G64">
        <v>0</v>
      </c>
      <c r="H64">
        <v>18</v>
      </c>
      <c r="I64">
        <v>46.591999999999999</v>
      </c>
      <c r="J64" s="3">
        <f t="shared" si="4"/>
        <v>1815526.5919999999</v>
      </c>
      <c r="K64" s="1">
        <f t="shared" si="9"/>
        <v>9.0179999999236315</v>
      </c>
      <c r="L64" s="1">
        <f t="shared" si="18"/>
        <v>1</v>
      </c>
      <c r="M64" s="1">
        <f t="shared" si="18"/>
        <v>1</v>
      </c>
      <c r="N64" s="1">
        <f t="shared" si="18"/>
        <v>1</v>
      </c>
      <c r="O64" s="1">
        <f t="shared" si="18"/>
        <v>1</v>
      </c>
      <c r="P64" s="1">
        <f t="shared" si="18"/>
        <v>1</v>
      </c>
      <c r="Q64" s="1">
        <f t="shared" si="18"/>
        <v>1</v>
      </c>
      <c r="R64" s="1">
        <f t="shared" si="18"/>
        <v>1</v>
      </c>
      <c r="S64" s="1">
        <f t="shared" si="18"/>
        <v>1</v>
      </c>
      <c r="T64" s="1">
        <f t="shared" si="18"/>
        <v>1</v>
      </c>
      <c r="U64" s="1">
        <f t="shared" si="10"/>
        <v>1</v>
      </c>
      <c r="X64" s="1">
        <f t="shared" si="14"/>
        <v>9.0179999999236315</v>
      </c>
      <c r="Y64" s="1">
        <f t="shared" si="15"/>
        <v>9.0179999999236315</v>
      </c>
      <c r="Z64" s="1">
        <f t="shared" si="16"/>
        <v>9.0179999999236315</v>
      </c>
    </row>
    <row r="65" spans="1:26" x14ac:dyDescent="0.35">
      <c r="A65">
        <v>56</v>
      </c>
      <c r="B65">
        <v>1</v>
      </c>
      <c r="C65">
        <v>0</v>
      </c>
      <c r="D65">
        <v>2025</v>
      </c>
      <c r="E65">
        <v>8</v>
      </c>
      <c r="F65">
        <v>21</v>
      </c>
      <c r="G65">
        <v>0</v>
      </c>
      <c r="H65">
        <v>19</v>
      </c>
      <c r="I65">
        <v>0.19700000000000001</v>
      </c>
      <c r="J65" s="3">
        <f t="shared" si="4"/>
        <v>1815540.1969999999</v>
      </c>
      <c r="K65" s="1">
        <f t="shared" si="9"/>
        <v>13.604999999981374</v>
      </c>
      <c r="L65" s="1" t="str">
        <f t="shared" si="18"/>
        <v/>
      </c>
      <c r="M65" s="1">
        <f t="shared" si="18"/>
        <v>1</v>
      </c>
      <c r="N65" s="1">
        <f t="shared" si="18"/>
        <v>1</v>
      </c>
      <c r="O65" s="1">
        <f t="shared" si="18"/>
        <v>1</v>
      </c>
      <c r="P65" s="1">
        <f t="shared" si="18"/>
        <v>1</v>
      </c>
      <c r="Q65" s="1">
        <f t="shared" si="18"/>
        <v>1</v>
      </c>
      <c r="R65" s="1">
        <f t="shared" si="18"/>
        <v>1</v>
      </c>
      <c r="S65" s="1">
        <f t="shared" si="18"/>
        <v>1</v>
      </c>
      <c r="T65" s="1">
        <f t="shared" si="18"/>
        <v>1</v>
      </c>
      <c r="U65" s="1">
        <f t="shared" si="10"/>
        <v>1</v>
      </c>
      <c r="X65" s="1" t="str">
        <f t="shared" si="14"/>
        <v/>
      </c>
      <c r="Y65" s="1">
        <f t="shared" si="15"/>
        <v>13.604999999981374</v>
      </c>
      <c r="Z65" s="1">
        <f t="shared" si="16"/>
        <v>13.604999999981374</v>
      </c>
    </row>
    <row r="66" spans="1:26" x14ac:dyDescent="0.35">
      <c r="A66">
        <v>57</v>
      </c>
      <c r="B66">
        <v>0</v>
      </c>
      <c r="C66">
        <v>3</v>
      </c>
      <c r="D66">
        <v>2025</v>
      </c>
      <c r="E66">
        <v>8</v>
      </c>
      <c r="F66">
        <v>21</v>
      </c>
      <c r="G66">
        <v>0</v>
      </c>
      <c r="H66">
        <v>19</v>
      </c>
      <c r="I66">
        <v>10.387</v>
      </c>
      <c r="J66" s="3">
        <f t="shared" si="4"/>
        <v>1815550.3870000001</v>
      </c>
      <c r="K66" s="1">
        <f t="shared" si="9"/>
        <v>10.190000000176951</v>
      </c>
      <c r="L66" s="1" t="str">
        <f t="shared" si="18"/>
        <v/>
      </c>
      <c r="M66" s="1">
        <f t="shared" si="18"/>
        <v>0</v>
      </c>
      <c r="N66" s="1">
        <f t="shared" si="18"/>
        <v>0</v>
      </c>
      <c r="O66" s="1">
        <f t="shared" si="18"/>
        <v>0</v>
      </c>
      <c r="P66" s="1">
        <f t="shared" si="18"/>
        <v>0</v>
      </c>
      <c r="Q66" s="1">
        <f t="shared" si="18"/>
        <v>0</v>
      </c>
      <c r="R66" s="1">
        <f t="shared" si="18"/>
        <v>0</v>
      </c>
      <c r="S66" s="1">
        <f t="shared" si="18"/>
        <v>0</v>
      </c>
      <c r="T66" s="1">
        <f t="shared" si="18"/>
        <v>0</v>
      </c>
      <c r="U66" s="1">
        <f t="shared" si="10"/>
        <v>0</v>
      </c>
      <c r="X66" s="1" t="str">
        <f t="shared" si="14"/>
        <v/>
      </c>
      <c r="Y66" s="1">
        <f t="shared" si="15"/>
        <v>10.190000000176951</v>
      </c>
      <c r="Z66" s="1">
        <f t="shared" si="16"/>
        <v>10.190000000176951</v>
      </c>
    </row>
    <row r="67" spans="1:26" x14ac:dyDescent="0.35">
      <c r="A67">
        <v>58</v>
      </c>
      <c r="B67">
        <v>1</v>
      </c>
      <c r="C67">
        <v>0</v>
      </c>
      <c r="D67">
        <v>2025</v>
      </c>
      <c r="E67">
        <v>8</v>
      </c>
      <c r="F67">
        <v>21</v>
      </c>
      <c r="G67">
        <v>0</v>
      </c>
      <c r="H67">
        <v>19</v>
      </c>
      <c r="I67">
        <v>42.802</v>
      </c>
      <c r="J67" s="3">
        <f t="shared" si="4"/>
        <v>1815582.8019999999</v>
      </c>
      <c r="K67" s="1">
        <f t="shared" si="9"/>
        <v>32.414999999804422</v>
      </c>
      <c r="L67" s="1" t="str">
        <f t="shared" si="18"/>
        <v/>
      </c>
      <c r="M67" s="1" t="str">
        <f t="shared" si="18"/>
        <v/>
      </c>
      <c r="N67" s="1" t="str">
        <f t="shared" si="18"/>
        <v/>
      </c>
      <c r="O67" s="1" t="str">
        <f t="shared" si="18"/>
        <v/>
      </c>
      <c r="P67" s="1" t="str">
        <f t="shared" si="18"/>
        <v/>
      </c>
      <c r="Q67" s="1">
        <f t="shared" si="18"/>
        <v>1</v>
      </c>
      <c r="R67" s="1">
        <f t="shared" si="18"/>
        <v>1</v>
      </c>
      <c r="S67" s="1">
        <f t="shared" si="18"/>
        <v>1</v>
      </c>
      <c r="T67" s="1">
        <f t="shared" si="18"/>
        <v>1</v>
      </c>
      <c r="U67" s="1">
        <f t="shared" si="10"/>
        <v>1</v>
      </c>
      <c r="X67" s="1" t="str">
        <f t="shared" si="14"/>
        <v/>
      </c>
      <c r="Y67" s="1" t="str">
        <f t="shared" si="15"/>
        <v/>
      </c>
      <c r="Z67" s="1" t="str">
        <f t="shared" si="16"/>
        <v/>
      </c>
    </row>
    <row r="68" spans="1:26" x14ac:dyDescent="0.35">
      <c r="A68">
        <v>59</v>
      </c>
      <c r="B68">
        <v>0</v>
      </c>
      <c r="C68">
        <v>1</v>
      </c>
      <c r="D68">
        <v>2025</v>
      </c>
      <c r="E68">
        <v>8</v>
      </c>
      <c r="F68">
        <v>21</v>
      </c>
      <c r="G68">
        <v>0</v>
      </c>
      <c r="H68">
        <v>19</v>
      </c>
      <c r="I68">
        <v>58.997</v>
      </c>
      <c r="J68" s="3">
        <f t="shared" si="4"/>
        <v>1815598.997</v>
      </c>
      <c r="K68" s="1">
        <f t="shared" si="9"/>
        <v>16.195000000065193</v>
      </c>
      <c r="L68" s="1" t="str">
        <f t="shared" si="18"/>
        <v/>
      </c>
      <c r="M68" s="1" t="str">
        <f t="shared" si="18"/>
        <v/>
      </c>
      <c r="N68" s="1">
        <f t="shared" si="18"/>
        <v>0</v>
      </c>
      <c r="O68" s="1">
        <f t="shared" si="18"/>
        <v>0</v>
      </c>
      <c r="P68" s="1">
        <f t="shared" si="18"/>
        <v>0</v>
      </c>
      <c r="Q68" s="1">
        <f t="shared" si="18"/>
        <v>0</v>
      </c>
      <c r="R68" s="1">
        <f t="shared" si="18"/>
        <v>0</v>
      </c>
      <c r="S68" s="1">
        <f t="shared" si="18"/>
        <v>0</v>
      </c>
      <c r="T68" s="1">
        <f t="shared" si="18"/>
        <v>0</v>
      </c>
      <c r="U68" s="1">
        <f t="shared" si="10"/>
        <v>0</v>
      </c>
      <c r="X68" s="1" t="str">
        <f t="shared" si="14"/>
        <v/>
      </c>
      <c r="Y68" s="1" t="str">
        <f t="shared" si="15"/>
        <v/>
      </c>
      <c r="Z68" s="1">
        <f t="shared" si="16"/>
        <v>16.195000000065193</v>
      </c>
    </row>
    <row r="69" spans="1:26" x14ac:dyDescent="0.35">
      <c r="A69">
        <v>60</v>
      </c>
      <c r="B69">
        <v>1</v>
      </c>
      <c r="C69">
        <v>0</v>
      </c>
      <c r="D69">
        <v>2025</v>
      </c>
      <c r="E69">
        <v>8</v>
      </c>
      <c r="F69">
        <v>21</v>
      </c>
      <c r="G69">
        <v>0</v>
      </c>
      <c r="H69">
        <v>20</v>
      </c>
      <c r="I69">
        <v>10.39</v>
      </c>
      <c r="J69" s="3">
        <f t="shared" si="4"/>
        <v>1815610.39</v>
      </c>
      <c r="K69" s="1">
        <f t="shared" si="9"/>
        <v>11.392999999923632</v>
      </c>
      <c r="L69" s="1" t="str">
        <f t="shared" si="18"/>
        <v/>
      </c>
      <c r="M69" s="1">
        <f t="shared" si="18"/>
        <v>1</v>
      </c>
      <c r="N69" s="1">
        <f t="shared" si="18"/>
        <v>1</v>
      </c>
      <c r="O69" s="1">
        <f t="shared" si="18"/>
        <v>1</v>
      </c>
      <c r="P69" s="1">
        <f t="shared" si="18"/>
        <v>1</v>
      </c>
      <c r="Q69" s="1">
        <f t="shared" si="18"/>
        <v>1</v>
      </c>
      <c r="R69" s="1">
        <f t="shared" si="18"/>
        <v>1</v>
      </c>
      <c r="S69" s="1">
        <f t="shared" si="18"/>
        <v>1</v>
      </c>
      <c r="T69" s="1">
        <f t="shared" si="18"/>
        <v>1</v>
      </c>
      <c r="U69" s="1">
        <f t="shared" si="10"/>
        <v>1</v>
      </c>
      <c r="X69" s="1" t="str">
        <f t="shared" si="14"/>
        <v/>
      </c>
      <c r="Y69" s="1">
        <f t="shared" si="15"/>
        <v>11.392999999923632</v>
      </c>
      <c r="Z69" s="1">
        <f t="shared" si="16"/>
        <v>11.392999999923632</v>
      </c>
    </row>
    <row r="70" spans="1:26" x14ac:dyDescent="0.35">
      <c r="A70">
        <v>61</v>
      </c>
      <c r="B70">
        <v>1</v>
      </c>
      <c r="C70">
        <v>0</v>
      </c>
      <c r="D70">
        <v>2025</v>
      </c>
      <c r="E70">
        <v>8</v>
      </c>
      <c r="F70">
        <v>21</v>
      </c>
      <c r="G70">
        <v>0</v>
      </c>
      <c r="H70">
        <v>20</v>
      </c>
      <c r="I70">
        <v>23.227</v>
      </c>
      <c r="J70" s="3">
        <f t="shared" si="4"/>
        <v>1815623.227</v>
      </c>
      <c r="K70" s="1">
        <f t="shared" si="9"/>
        <v>12.837000000057742</v>
      </c>
      <c r="L70" s="1" t="str">
        <f t="shared" si="18"/>
        <v/>
      </c>
      <c r="M70" s="1">
        <f t="shared" si="18"/>
        <v>1</v>
      </c>
      <c r="N70" s="1">
        <f t="shared" si="18"/>
        <v>1</v>
      </c>
      <c r="O70" s="1">
        <f t="shared" si="18"/>
        <v>1</v>
      </c>
      <c r="P70" s="1">
        <f t="shared" si="18"/>
        <v>1</v>
      </c>
      <c r="Q70" s="1">
        <f t="shared" si="18"/>
        <v>1</v>
      </c>
      <c r="R70" s="1">
        <f t="shared" si="18"/>
        <v>1</v>
      </c>
      <c r="S70" s="1">
        <f t="shared" si="18"/>
        <v>1</v>
      </c>
      <c r="T70" s="1">
        <f t="shared" si="18"/>
        <v>1</v>
      </c>
      <c r="U70" s="1">
        <f t="shared" si="10"/>
        <v>1</v>
      </c>
      <c r="X70" s="1" t="str">
        <f t="shared" si="14"/>
        <v/>
      </c>
      <c r="Y70" s="1">
        <f t="shared" si="15"/>
        <v>12.837000000057742</v>
      </c>
      <c r="Z70" s="1">
        <f t="shared" si="16"/>
        <v>12.837000000057742</v>
      </c>
    </row>
    <row r="71" spans="1:26" x14ac:dyDescent="0.35">
      <c r="A71">
        <v>62</v>
      </c>
      <c r="B71">
        <v>1</v>
      </c>
      <c r="C71">
        <v>0</v>
      </c>
      <c r="D71">
        <v>2025</v>
      </c>
      <c r="E71">
        <v>8</v>
      </c>
      <c r="F71">
        <v>21</v>
      </c>
      <c r="G71">
        <v>0</v>
      </c>
      <c r="H71">
        <v>20</v>
      </c>
      <c r="I71">
        <v>31.946000000000002</v>
      </c>
      <c r="J71" s="3">
        <f t="shared" si="4"/>
        <v>1815631.946</v>
      </c>
      <c r="K71" s="1">
        <f t="shared" si="9"/>
        <v>8.7190000000409782</v>
      </c>
      <c r="L71" s="1">
        <f t="shared" ref="L71:T80" si="19">IF($K71&lt;L$4,$B71,"")</f>
        <v>1</v>
      </c>
      <c r="M71" s="1">
        <f t="shared" si="19"/>
        <v>1</v>
      </c>
      <c r="N71" s="1">
        <f t="shared" si="19"/>
        <v>1</v>
      </c>
      <c r="O71" s="1">
        <f t="shared" si="19"/>
        <v>1</v>
      </c>
      <c r="P71" s="1">
        <f t="shared" si="19"/>
        <v>1</v>
      </c>
      <c r="Q71" s="1">
        <f t="shared" si="19"/>
        <v>1</v>
      </c>
      <c r="R71" s="1">
        <f t="shared" si="19"/>
        <v>1</v>
      </c>
      <c r="S71" s="1">
        <f t="shared" si="19"/>
        <v>1</v>
      </c>
      <c r="T71" s="1">
        <f t="shared" si="19"/>
        <v>1</v>
      </c>
      <c r="U71" s="1">
        <f t="shared" si="10"/>
        <v>1</v>
      </c>
      <c r="X71" s="1">
        <f t="shared" si="14"/>
        <v>8.7190000000409782</v>
      </c>
      <c r="Y71" s="1">
        <f t="shared" si="15"/>
        <v>8.7190000000409782</v>
      </c>
      <c r="Z71" s="1">
        <f t="shared" si="16"/>
        <v>8.7190000000409782</v>
      </c>
    </row>
    <row r="72" spans="1:26" x14ac:dyDescent="0.35">
      <c r="A72">
        <v>63</v>
      </c>
      <c r="B72">
        <v>1</v>
      </c>
      <c r="C72">
        <v>0</v>
      </c>
      <c r="D72">
        <v>2025</v>
      </c>
      <c r="E72">
        <v>8</v>
      </c>
      <c r="F72">
        <v>21</v>
      </c>
      <c r="G72">
        <v>0</v>
      </c>
      <c r="H72">
        <v>20</v>
      </c>
      <c r="I72">
        <v>41.131999999999998</v>
      </c>
      <c r="J72" s="3">
        <f t="shared" si="4"/>
        <v>1815641.132</v>
      </c>
      <c r="K72" s="1">
        <f t="shared" si="9"/>
        <v>9.1859999999869615</v>
      </c>
      <c r="L72" s="1">
        <f t="shared" si="19"/>
        <v>1</v>
      </c>
      <c r="M72" s="1">
        <f t="shared" si="19"/>
        <v>1</v>
      </c>
      <c r="N72" s="1">
        <f t="shared" si="19"/>
        <v>1</v>
      </c>
      <c r="O72" s="1">
        <f t="shared" si="19"/>
        <v>1</v>
      </c>
      <c r="P72" s="1">
        <f t="shared" si="19"/>
        <v>1</v>
      </c>
      <c r="Q72" s="1">
        <f t="shared" si="19"/>
        <v>1</v>
      </c>
      <c r="R72" s="1">
        <f t="shared" si="19"/>
        <v>1</v>
      </c>
      <c r="S72" s="1">
        <f t="shared" si="19"/>
        <v>1</v>
      </c>
      <c r="T72" s="1">
        <f t="shared" si="19"/>
        <v>1</v>
      </c>
      <c r="U72" s="1">
        <f t="shared" si="10"/>
        <v>1</v>
      </c>
      <c r="X72" s="1">
        <f t="shared" si="14"/>
        <v>9.1859999999869615</v>
      </c>
      <c r="Y72" s="1">
        <f t="shared" si="15"/>
        <v>9.1859999999869615</v>
      </c>
      <c r="Z72" s="1">
        <f t="shared" si="16"/>
        <v>9.1859999999869615</v>
      </c>
    </row>
    <row r="73" spans="1:26" x14ac:dyDescent="0.35">
      <c r="A73">
        <v>64</v>
      </c>
      <c r="B73">
        <v>1</v>
      </c>
      <c r="C73">
        <v>0</v>
      </c>
      <c r="D73">
        <v>2025</v>
      </c>
      <c r="E73">
        <v>8</v>
      </c>
      <c r="F73">
        <v>21</v>
      </c>
      <c r="G73">
        <v>0</v>
      </c>
      <c r="H73">
        <v>20</v>
      </c>
      <c r="I73">
        <v>53.530999999999999</v>
      </c>
      <c r="J73" s="3">
        <f t="shared" si="4"/>
        <v>1815653.531</v>
      </c>
      <c r="K73" s="1">
        <f t="shared" si="9"/>
        <v>12.398999999975786</v>
      </c>
      <c r="L73" s="1" t="str">
        <f t="shared" si="19"/>
        <v/>
      </c>
      <c r="M73" s="1">
        <f t="shared" si="19"/>
        <v>1</v>
      </c>
      <c r="N73" s="1">
        <f t="shared" si="19"/>
        <v>1</v>
      </c>
      <c r="O73" s="1">
        <f t="shared" si="19"/>
        <v>1</v>
      </c>
      <c r="P73" s="1">
        <f t="shared" si="19"/>
        <v>1</v>
      </c>
      <c r="Q73" s="1">
        <f t="shared" si="19"/>
        <v>1</v>
      </c>
      <c r="R73" s="1">
        <f t="shared" si="19"/>
        <v>1</v>
      </c>
      <c r="S73" s="1">
        <f t="shared" si="19"/>
        <v>1</v>
      </c>
      <c r="T73" s="1">
        <f t="shared" si="19"/>
        <v>1</v>
      </c>
      <c r="U73" s="1">
        <f t="shared" si="10"/>
        <v>1</v>
      </c>
      <c r="X73" s="1" t="str">
        <f t="shared" si="14"/>
        <v/>
      </c>
      <c r="Y73" s="1">
        <f t="shared" si="15"/>
        <v>12.398999999975786</v>
      </c>
      <c r="Z73" s="1">
        <f t="shared" si="16"/>
        <v>12.398999999975786</v>
      </c>
    </row>
    <row r="74" spans="1:26" x14ac:dyDescent="0.35">
      <c r="A74">
        <v>65</v>
      </c>
      <c r="B74">
        <v>1</v>
      </c>
      <c r="C74">
        <v>0</v>
      </c>
      <c r="D74">
        <v>2025</v>
      </c>
      <c r="E74">
        <v>8</v>
      </c>
      <c r="F74">
        <v>21</v>
      </c>
      <c r="G74">
        <v>0</v>
      </c>
      <c r="H74">
        <v>21</v>
      </c>
      <c r="I74">
        <v>2.87</v>
      </c>
      <c r="J74" s="3">
        <f t="shared" si="4"/>
        <v>1815662.87</v>
      </c>
      <c r="K74" s="1">
        <f t="shared" si="9"/>
        <v>9.3390000001527369</v>
      </c>
      <c r="L74" s="1">
        <f t="shared" si="19"/>
        <v>1</v>
      </c>
      <c r="M74" s="1">
        <f t="shared" si="19"/>
        <v>1</v>
      </c>
      <c r="N74" s="1">
        <f t="shared" si="19"/>
        <v>1</v>
      </c>
      <c r="O74" s="1">
        <f t="shared" si="19"/>
        <v>1</v>
      </c>
      <c r="P74" s="1">
        <f t="shared" si="19"/>
        <v>1</v>
      </c>
      <c r="Q74" s="1">
        <f t="shared" si="19"/>
        <v>1</v>
      </c>
      <c r="R74" s="1">
        <f t="shared" si="19"/>
        <v>1</v>
      </c>
      <c r="S74" s="1">
        <f t="shared" si="19"/>
        <v>1</v>
      </c>
      <c r="T74" s="1">
        <f t="shared" si="19"/>
        <v>1</v>
      </c>
      <c r="U74" s="1">
        <f t="shared" si="10"/>
        <v>1</v>
      </c>
      <c r="X74" s="1">
        <f t="shared" si="14"/>
        <v>9.3390000001527369</v>
      </c>
      <c r="Y74" s="1">
        <f t="shared" si="15"/>
        <v>9.3390000001527369</v>
      </c>
      <c r="Z74" s="1">
        <f t="shared" si="16"/>
        <v>9.3390000001527369</v>
      </c>
    </row>
    <row r="75" spans="1:26" x14ac:dyDescent="0.35">
      <c r="A75">
        <v>66</v>
      </c>
      <c r="B75">
        <v>0</v>
      </c>
      <c r="C75">
        <v>0</v>
      </c>
      <c r="D75">
        <v>2025</v>
      </c>
      <c r="E75">
        <v>8</v>
      </c>
      <c r="F75">
        <v>21</v>
      </c>
      <c r="G75">
        <v>0</v>
      </c>
      <c r="H75">
        <v>21</v>
      </c>
      <c r="I75">
        <v>11.802</v>
      </c>
      <c r="J75" s="3">
        <f t="shared" ref="J75:J138" si="20">F75*86400+I75+H75*60+G75*60*60</f>
        <v>1815671.8019999999</v>
      </c>
      <c r="K75" s="1">
        <f t="shared" si="9"/>
        <v>8.9319999997969717</v>
      </c>
      <c r="L75" s="1">
        <f t="shared" si="19"/>
        <v>0</v>
      </c>
      <c r="M75" s="1">
        <f t="shared" si="19"/>
        <v>0</v>
      </c>
      <c r="N75" s="1">
        <f t="shared" si="19"/>
        <v>0</v>
      </c>
      <c r="O75" s="1">
        <f t="shared" si="19"/>
        <v>0</v>
      </c>
      <c r="P75" s="1">
        <f t="shared" si="19"/>
        <v>0</v>
      </c>
      <c r="Q75" s="1">
        <f t="shared" si="19"/>
        <v>0</v>
      </c>
      <c r="R75" s="1">
        <f t="shared" si="19"/>
        <v>0</v>
      </c>
      <c r="S75" s="1">
        <f t="shared" si="19"/>
        <v>0</v>
      </c>
      <c r="T75" s="1">
        <f t="shared" si="19"/>
        <v>0</v>
      </c>
      <c r="U75" s="1">
        <f t="shared" si="10"/>
        <v>0</v>
      </c>
      <c r="X75" s="1">
        <f t="shared" ref="X75:X106" si="21">IF($K75&lt;L$4,$K75,"")</f>
        <v>8.9319999997969717</v>
      </c>
      <c r="Y75" s="1">
        <f t="shared" ref="Y75:Y106" si="22">IF($K75&lt;M$4,$K75,"")</f>
        <v>8.9319999997969717</v>
      </c>
      <c r="Z75" s="1">
        <f t="shared" ref="Z75:Z106" si="23">IF($K75&lt;N$4,$K75,"")</f>
        <v>8.9319999997969717</v>
      </c>
    </row>
    <row r="76" spans="1:26" x14ac:dyDescent="0.35">
      <c r="A76">
        <v>67</v>
      </c>
      <c r="B76">
        <v>1</v>
      </c>
      <c r="C76">
        <v>3</v>
      </c>
      <c r="D76">
        <v>2025</v>
      </c>
      <c r="E76">
        <v>8</v>
      </c>
      <c r="F76">
        <v>21</v>
      </c>
      <c r="G76">
        <v>0</v>
      </c>
      <c r="H76">
        <v>21</v>
      </c>
      <c r="I76">
        <v>24.675999999999998</v>
      </c>
      <c r="J76" s="3">
        <f t="shared" si="20"/>
        <v>1815684.676</v>
      </c>
      <c r="K76" s="1">
        <f t="shared" ref="K76:K139" si="24">J76-J75</f>
        <v>12.874000000068918</v>
      </c>
      <c r="L76" s="1" t="str">
        <f t="shared" si="19"/>
        <v/>
      </c>
      <c r="M76" s="1">
        <f t="shared" si="19"/>
        <v>1</v>
      </c>
      <c r="N76" s="1">
        <f t="shared" si="19"/>
        <v>1</v>
      </c>
      <c r="O76" s="1">
        <f t="shared" si="19"/>
        <v>1</v>
      </c>
      <c r="P76" s="1">
        <f t="shared" si="19"/>
        <v>1</v>
      </c>
      <c r="Q76" s="1">
        <f t="shared" si="19"/>
        <v>1</v>
      </c>
      <c r="R76" s="1">
        <f t="shared" si="19"/>
        <v>1</v>
      </c>
      <c r="S76" s="1">
        <f t="shared" si="19"/>
        <v>1</v>
      </c>
      <c r="T76" s="1">
        <f t="shared" si="19"/>
        <v>1</v>
      </c>
      <c r="U76" s="1">
        <f t="shared" ref="U76:U139" si="25">B76</f>
        <v>1</v>
      </c>
      <c r="X76" s="1" t="str">
        <f t="shared" si="21"/>
        <v/>
      </c>
      <c r="Y76" s="1">
        <f t="shared" si="22"/>
        <v>12.874000000068918</v>
      </c>
      <c r="Z76" s="1">
        <f t="shared" si="23"/>
        <v>12.874000000068918</v>
      </c>
    </row>
    <row r="77" spans="1:26" x14ac:dyDescent="0.35">
      <c r="A77">
        <v>68</v>
      </c>
      <c r="B77">
        <v>1</v>
      </c>
      <c r="C77">
        <v>3</v>
      </c>
      <c r="D77">
        <v>2025</v>
      </c>
      <c r="E77">
        <v>8</v>
      </c>
      <c r="F77">
        <v>21</v>
      </c>
      <c r="G77">
        <v>0</v>
      </c>
      <c r="H77">
        <v>21</v>
      </c>
      <c r="I77">
        <v>36.51</v>
      </c>
      <c r="J77" s="3">
        <f t="shared" si="20"/>
        <v>1815696.51</v>
      </c>
      <c r="K77" s="1">
        <f t="shared" si="24"/>
        <v>11.834000000031665</v>
      </c>
      <c r="L77" s="1" t="str">
        <f t="shared" si="19"/>
        <v/>
      </c>
      <c r="M77" s="1">
        <f t="shared" si="19"/>
        <v>1</v>
      </c>
      <c r="N77" s="1">
        <f t="shared" si="19"/>
        <v>1</v>
      </c>
      <c r="O77" s="1">
        <f t="shared" si="19"/>
        <v>1</v>
      </c>
      <c r="P77" s="1">
        <f t="shared" si="19"/>
        <v>1</v>
      </c>
      <c r="Q77" s="1">
        <f t="shared" si="19"/>
        <v>1</v>
      </c>
      <c r="R77" s="1">
        <f t="shared" si="19"/>
        <v>1</v>
      </c>
      <c r="S77" s="1">
        <f t="shared" si="19"/>
        <v>1</v>
      </c>
      <c r="T77" s="1">
        <f t="shared" si="19"/>
        <v>1</v>
      </c>
      <c r="U77" s="1">
        <f t="shared" si="25"/>
        <v>1</v>
      </c>
      <c r="X77" s="1" t="str">
        <f t="shared" si="21"/>
        <v/>
      </c>
      <c r="Y77" s="1">
        <f t="shared" si="22"/>
        <v>11.834000000031665</v>
      </c>
      <c r="Z77" s="1">
        <f t="shared" si="23"/>
        <v>11.834000000031665</v>
      </c>
    </row>
    <row r="78" spans="1:26" x14ac:dyDescent="0.35">
      <c r="A78">
        <v>69</v>
      </c>
      <c r="B78">
        <v>1</v>
      </c>
      <c r="C78">
        <v>3</v>
      </c>
      <c r="D78">
        <v>2025</v>
      </c>
      <c r="E78">
        <v>8</v>
      </c>
      <c r="F78">
        <v>21</v>
      </c>
      <c r="G78">
        <v>0</v>
      </c>
      <c r="H78">
        <v>21</v>
      </c>
      <c r="I78">
        <v>45.558</v>
      </c>
      <c r="J78" s="3">
        <f t="shared" si="20"/>
        <v>1815705.558</v>
      </c>
      <c r="K78" s="1">
        <f t="shared" si="24"/>
        <v>9.0479999999515712</v>
      </c>
      <c r="L78" s="1">
        <f t="shared" si="19"/>
        <v>1</v>
      </c>
      <c r="M78" s="1">
        <f t="shared" si="19"/>
        <v>1</v>
      </c>
      <c r="N78" s="1">
        <f t="shared" si="19"/>
        <v>1</v>
      </c>
      <c r="O78" s="1">
        <f t="shared" si="19"/>
        <v>1</v>
      </c>
      <c r="P78" s="1">
        <f t="shared" si="19"/>
        <v>1</v>
      </c>
      <c r="Q78" s="1">
        <f t="shared" si="19"/>
        <v>1</v>
      </c>
      <c r="R78" s="1">
        <f t="shared" si="19"/>
        <v>1</v>
      </c>
      <c r="S78" s="1">
        <f t="shared" si="19"/>
        <v>1</v>
      </c>
      <c r="T78" s="1">
        <f t="shared" si="19"/>
        <v>1</v>
      </c>
      <c r="U78" s="1">
        <f t="shared" si="25"/>
        <v>1</v>
      </c>
      <c r="X78" s="1">
        <f t="shared" si="21"/>
        <v>9.0479999999515712</v>
      </c>
      <c r="Y78" s="1">
        <f t="shared" si="22"/>
        <v>9.0479999999515712</v>
      </c>
      <c r="Z78" s="1">
        <f t="shared" si="23"/>
        <v>9.0479999999515712</v>
      </c>
    </row>
    <row r="79" spans="1:26" x14ac:dyDescent="0.35">
      <c r="A79">
        <v>70</v>
      </c>
      <c r="B79">
        <v>1</v>
      </c>
      <c r="C79">
        <v>3</v>
      </c>
      <c r="D79">
        <v>2025</v>
      </c>
      <c r="E79">
        <v>8</v>
      </c>
      <c r="F79">
        <v>21</v>
      </c>
      <c r="G79">
        <v>0</v>
      </c>
      <c r="H79">
        <v>22</v>
      </c>
      <c r="I79">
        <v>4.9800000000000004</v>
      </c>
      <c r="J79" s="3">
        <f t="shared" si="20"/>
        <v>1815724.98</v>
      </c>
      <c r="K79" s="1">
        <f t="shared" si="24"/>
        <v>19.422000000020489</v>
      </c>
      <c r="L79" s="1" t="str">
        <f t="shared" si="19"/>
        <v/>
      </c>
      <c r="M79" s="1" t="str">
        <f t="shared" si="19"/>
        <v/>
      </c>
      <c r="N79" s="1">
        <f t="shared" si="19"/>
        <v>1</v>
      </c>
      <c r="O79" s="1">
        <f t="shared" si="19"/>
        <v>1</v>
      </c>
      <c r="P79" s="1">
        <f t="shared" si="19"/>
        <v>1</v>
      </c>
      <c r="Q79" s="1">
        <f t="shared" si="19"/>
        <v>1</v>
      </c>
      <c r="R79" s="1">
        <f t="shared" si="19"/>
        <v>1</v>
      </c>
      <c r="S79" s="1">
        <f t="shared" si="19"/>
        <v>1</v>
      </c>
      <c r="T79" s="1">
        <f t="shared" si="19"/>
        <v>1</v>
      </c>
      <c r="U79" s="1">
        <f t="shared" si="25"/>
        <v>1</v>
      </c>
      <c r="X79" s="1" t="str">
        <f t="shared" si="21"/>
        <v/>
      </c>
      <c r="Y79" s="1" t="str">
        <f t="shared" si="22"/>
        <v/>
      </c>
      <c r="Z79" s="1">
        <f t="shared" si="23"/>
        <v>19.422000000020489</v>
      </c>
    </row>
    <row r="80" spans="1:26" x14ac:dyDescent="0.35">
      <c r="A80">
        <v>71</v>
      </c>
      <c r="B80">
        <v>0</v>
      </c>
      <c r="C80">
        <v>0</v>
      </c>
      <c r="D80">
        <v>2025</v>
      </c>
      <c r="E80">
        <v>8</v>
      </c>
      <c r="F80">
        <v>21</v>
      </c>
      <c r="G80">
        <v>0</v>
      </c>
      <c r="H80">
        <v>22</v>
      </c>
      <c r="I80">
        <v>15.666</v>
      </c>
      <c r="J80" s="3">
        <f t="shared" si="20"/>
        <v>1815735.666</v>
      </c>
      <c r="K80" s="1">
        <f t="shared" si="24"/>
        <v>10.685999999986961</v>
      </c>
      <c r="L80" s="1" t="str">
        <f t="shared" si="19"/>
        <v/>
      </c>
      <c r="M80" s="1">
        <f t="shared" si="19"/>
        <v>0</v>
      </c>
      <c r="N80" s="1">
        <f t="shared" si="19"/>
        <v>0</v>
      </c>
      <c r="O80" s="1">
        <f t="shared" si="19"/>
        <v>0</v>
      </c>
      <c r="P80" s="1">
        <f t="shared" si="19"/>
        <v>0</v>
      </c>
      <c r="Q80" s="1">
        <f t="shared" si="19"/>
        <v>0</v>
      </c>
      <c r="R80" s="1">
        <f t="shared" si="19"/>
        <v>0</v>
      </c>
      <c r="S80" s="1">
        <f t="shared" si="19"/>
        <v>0</v>
      </c>
      <c r="T80" s="1">
        <f t="shared" si="19"/>
        <v>0</v>
      </c>
      <c r="U80" s="1">
        <f t="shared" si="25"/>
        <v>0</v>
      </c>
      <c r="X80" s="1" t="str">
        <f t="shared" si="21"/>
        <v/>
      </c>
      <c r="Y80" s="1">
        <f t="shared" si="22"/>
        <v>10.685999999986961</v>
      </c>
      <c r="Z80" s="1">
        <f t="shared" si="23"/>
        <v>10.685999999986961</v>
      </c>
    </row>
    <row r="81" spans="1:26" x14ac:dyDescent="0.35">
      <c r="A81">
        <v>72</v>
      </c>
      <c r="B81">
        <v>0</v>
      </c>
      <c r="C81">
        <v>0</v>
      </c>
      <c r="D81">
        <v>2025</v>
      </c>
      <c r="E81">
        <v>8</v>
      </c>
      <c r="F81">
        <v>21</v>
      </c>
      <c r="G81">
        <v>0</v>
      </c>
      <c r="H81">
        <v>22</v>
      </c>
      <c r="I81">
        <v>26.620999999999999</v>
      </c>
      <c r="J81" s="3">
        <f t="shared" si="20"/>
        <v>1815746.621</v>
      </c>
      <c r="K81" s="1">
        <f t="shared" si="24"/>
        <v>10.955000000074506</v>
      </c>
      <c r="L81" s="1" t="str">
        <f t="shared" ref="L81:T90" si="26">IF($K81&lt;L$4,$B81,"")</f>
        <v/>
      </c>
      <c r="M81" s="1">
        <f t="shared" si="26"/>
        <v>0</v>
      </c>
      <c r="N81" s="1">
        <f t="shared" si="26"/>
        <v>0</v>
      </c>
      <c r="O81" s="1">
        <f t="shared" si="26"/>
        <v>0</v>
      </c>
      <c r="P81" s="1">
        <f t="shared" si="26"/>
        <v>0</v>
      </c>
      <c r="Q81" s="1">
        <f t="shared" si="26"/>
        <v>0</v>
      </c>
      <c r="R81" s="1">
        <f t="shared" si="26"/>
        <v>0</v>
      </c>
      <c r="S81" s="1">
        <f t="shared" si="26"/>
        <v>0</v>
      </c>
      <c r="T81" s="1">
        <f t="shared" si="26"/>
        <v>0</v>
      </c>
      <c r="U81" s="1">
        <f t="shared" si="25"/>
        <v>0</v>
      </c>
      <c r="X81" s="1" t="str">
        <f t="shared" si="21"/>
        <v/>
      </c>
      <c r="Y81" s="1">
        <f t="shared" si="22"/>
        <v>10.955000000074506</v>
      </c>
      <c r="Z81" s="1">
        <f t="shared" si="23"/>
        <v>10.955000000074506</v>
      </c>
    </row>
    <row r="82" spans="1:26" x14ac:dyDescent="0.35">
      <c r="A82">
        <v>73</v>
      </c>
      <c r="B82">
        <v>1</v>
      </c>
      <c r="C82">
        <v>3</v>
      </c>
      <c r="D82">
        <v>2025</v>
      </c>
      <c r="E82">
        <v>8</v>
      </c>
      <c r="F82">
        <v>21</v>
      </c>
      <c r="G82">
        <v>0</v>
      </c>
      <c r="H82">
        <v>22</v>
      </c>
      <c r="I82">
        <v>41.845999999999997</v>
      </c>
      <c r="J82" s="3">
        <f t="shared" si="20"/>
        <v>1815761.8459999999</v>
      </c>
      <c r="K82" s="1">
        <f t="shared" si="24"/>
        <v>15.224999999860302</v>
      </c>
      <c r="L82" s="1" t="str">
        <f t="shared" si="26"/>
        <v/>
      </c>
      <c r="M82" s="1" t="str">
        <f t="shared" si="26"/>
        <v/>
      </c>
      <c r="N82" s="1">
        <f t="shared" si="26"/>
        <v>1</v>
      </c>
      <c r="O82" s="1">
        <f t="shared" si="26"/>
        <v>1</v>
      </c>
      <c r="P82" s="1">
        <f t="shared" si="26"/>
        <v>1</v>
      </c>
      <c r="Q82" s="1">
        <f t="shared" si="26"/>
        <v>1</v>
      </c>
      <c r="R82" s="1">
        <f t="shared" si="26"/>
        <v>1</v>
      </c>
      <c r="S82" s="1">
        <f t="shared" si="26"/>
        <v>1</v>
      </c>
      <c r="T82" s="1">
        <f t="shared" si="26"/>
        <v>1</v>
      </c>
      <c r="U82" s="1">
        <f t="shared" si="25"/>
        <v>1</v>
      </c>
      <c r="X82" s="1" t="str">
        <f t="shared" si="21"/>
        <v/>
      </c>
      <c r="Y82" s="1" t="str">
        <f t="shared" si="22"/>
        <v/>
      </c>
      <c r="Z82" s="1">
        <f t="shared" si="23"/>
        <v>15.224999999860302</v>
      </c>
    </row>
    <row r="83" spans="1:26" x14ac:dyDescent="0.35">
      <c r="A83">
        <v>74</v>
      </c>
      <c r="B83">
        <v>0</v>
      </c>
      <c r="C83">
        <v>0</v>
      </c>
      <c r="D83">
        <v>2025</v>
      </c>
      <c r="E83">
        <v>8</v>
      </c>
      <c r="F83">
        <v>21</v>
      </c>
      <c r="G83">
        <v>0</v>
      </c>
      <c r="H83">
        <v>23</v>
      </c>
      <c r="I83">
        <v>7.5170000000000003</v>
      </c>
      <c r="J83" s="3">
        <f t="shared" si="20"/>
        <v>1815787.517</v>
      </c>
      <c r="K83" s="1">
        <f t="shared" si="24"/>
        <v>25.671000000089407</v>
      </c>
      <c r="L83" s="1" t="str">
        <f t="shared" si="26"/>
        <v/>
      </c>
      <c r="M83" s="1" t="str">
        <f t="shared" si="26"/>
        <v/>
      </c>
      <c r="N83" s="1" t="str">
        <f t="shared" si="26"/>
        <v/>
      </c>
      <c r="O83" s="1" t="str">
        <f t="shared" si="26"/>
        <v/>
      </c>
      <c r="P83" s="1">
        <f t="shared" si="26"/>
        <v>0</v>
      </c>
      <c r="Q83" s="1">
        <f t="shared" si="26"/>
        <v>0</v>
      </c>
      <c r="R83" s="1">
        <f t="shared" si="26"/>
        <v>0</v>
      </c>
      <c r="S83" s="1">
        <f t="shared" si="26"/>
        <v>0</v>
      </c>
      <c r="T83" s="1">
        <f t="shared" si="26"/>
        <v>0</v>
      </c>
      <c r="U83" s="1">
        <f t="shared" si="25"/>
        <v>0</v>
      </c>
      <c r="X83" s="1" t="str">
        <f t="shared" si="21"/>
        <v/>
      </c>
      <c r="Y83" s="1" t="str">
        <f t="shared" si="22"/>
        <v/>
      </c>
      <c r="Z83" s="1" t="str">
        <f t="shared" si="23"/>
        <v/>
      </c>
    </row>
    <row r="84" spans="1:26" x14ac:dyDescent="0.35">
      <c r="A84">
        <v>75</v>
      </c>
      <c r="B84">
        <v>0</v>
      </c>
      <c r="C84">
        <v>0</v>
      </c>
      <c r="D84">
        <v>2025</v>
      </c>
      <c r="E84">
        <v>8</v>
      </c>
      <c r="F84">
        <v>21</v>
      </c>
      <c r="G84">
        <v>0</v>
      </c>
      <c r="H84">
        <v>23</v>
      </c>
      <c r="I84">
        <v>44.962000000000003</v>
      </c>
      <c r="J84" s="3">
        <f t="shared" si="20"/>
        <v>1815824.9620000001</v>
      </c>
      <c r="K84" s="1">
        <f t="shared" si="24"/>
        <v>37.445000000065193</v>
      </c>
      <c r="L84" s="1" t="str">
        <f t="shared" si="26"/>
        <v/>
      </c>
      <c r="M84" s="1" t="str">
        <f t="shared" si="26"/>
        <v/>
      </c>
      <c r="N84" s="1" t="str">
        <f t="shared" si="26"/>
        <v/>
      </c>
      <c r="O84" s="1" t="str">
        <f t="shared" si="26"/>
        <v/>
      </c>
      <c r="P84" s="1" t="str">
        <f t="shared" si="26"/>
        <v/>
      </c>
      <c r="Q84" s="1" t="str">
        <f t="shared" si="26"/>
        <v/>
      </c>
      <c r="R84" s="1">
        <f t="shared" si="26"/>
        <v>0</v>
      </c>
      <c r="S84" s="1">
        <f t="shared" si="26"/>
        <v>0</v>
      </c>
      <c r="T84" s="1">
        <f t="shared" si="26"/>
        <v>0</v>
      </c>
      <c r="U84" s="1">
        <f t="shared" si="25"/>
        <v>0</v>
      </c>
      <c r="X84" s="1" t="str">
        <f t="shared" si="21"/>
        <v/>
      </c>
      <c r="Y84" s="1" t="str">
        <f t="shared" si="22"/>
        <v/>
      </c>
      <c r="Z84" s="1" t="str">
        <f t="shared" si="23"/>
        <v/>
      </c>
    </row>
    <row r="85" spans="1:26" x14ac:dyDescent="0.35">
      <c r="A85">
        <v>76</v>
      </c>
      <c r="B85">
        <v>0</v>
      </c>
      <c r="C85">
        <v>0</v>
      </c>
      <c r="D85">
        <v>2025</v>
      </c>
      <c r="E85">
        <v>8</v>
      </c>
      <c r="F85">
        <v>21</v>
      </c>
      <c r="G85">
        <v>0</v>
      </c>
      <c r="H85">
        <v>24</v>
      </c>
      <c r="I85">
        <v>6.8840000000000003</v>
      </c>
      <c r="J85" s="3">
        <f t="shared" si="20"/>
        <v>1815846.8840000001</v>
      </c>
      <c r="K85" s="1">
        <f t="shared" si="24"/>
        <v>21.922000000020489</v>
      </c>
      <c r="L85" s="1" t="str">
        <f t="shared" si="26"/>
        <v/>
      </c>
      <c r="M85" s="1" t="str">
        <f t="shared" si="26"/>
        <v/>
      </c>
      <c r="N85" s="1" t="str">
        <f t="shared" si="26"/>
        <v/>
      </c>
      <c r="O85" s="1">
        <f t="shared" si="26"/>
        <v>0</v>
      </c>
      <c r="P85" s="1">
        <f t="shared" si="26"/>
        <v>0</v>
      </c>
      <c r="Q85" s="1">
        <f t="shared" si="26"/>
        <v>0</v>
      </c>
      <c r="R85" s="1">
        <f t="shared" si="26"/>
        <v>0</v>
      </c>
      <c r="S85" s="1">
        <f t="shared" si="26"/>
        <v>0</v>
      </c>
      <c r="T85" s="1">
        <f t="shared" si="26"/>
        <v>0</v>
      </c>
      <c r="U85" s="1">
        <f t="shared" si="25"/>
        <v>0</v>
      </c>
      <c r="X85" s="1" t="str">
        <f t="shared" si="21"/>
        <v/>
      </c>
      <c r="Y85" s="1" t="str">
        <f t="shared" si="22"/>
        <v/>
      </c>
      <c r="Z85" s="1" t="str">
        <f t="shared" si="23"/>
        <v/>
      </c>
    </row>
    <row r="86" spans="1:26" x14ac:dyDescent="0.35">
      <c r="A86">
        <v>77</v>
      </c>
      <c r="B86">
        <v>0</v>
      </c>
      <c r="C86">
        <v>0</v>
      </c>
      <c r="D86">
        <v>2025</v>
      </c>
      <c r="E86">
        <v>8</v>
      </c>
      <c r="F86">
        <v>21</v>
      </c>
      <c r="G86">
        <v>0</v>
      </c>
      <c r="H86">
        <v>24</v>
      </c>
      <c r="I86">
        <v>35.189</v>
      </c>
      <c r="J86" s="3">
        <f t="shared" si="20"/>
        <v>1815875.189</v>
      </c>
      <c r="K86" s="1">
        <f t="shared" si="24"/>
        <v>28.304999999934807</v>
      </c>
      <c r="L86" s="1" t="str">
        <f t="shared" si="26"/>
        <v/>
      </c>
      <c r="M86" s="1" t="str">
        <f t="shared" si="26"/>
        <v/>
      </c>
      <c r="N86" s="1" t="str">
        <f t="shared" si="26"/>
        <v/>
      </c>
      <c r="O86" s="1" t="str">
        <f t="shared" si="26"/>
        <v/>
      </c>
      <c r="P86" s="1">
        <f t="shared" si="26"/>
        <v>0</v>
      </c>
      <c r="Q86" s="1">
        <f t="shared" si="26"/>
        <v>0</v>
      </c>
      <c r="R86" s="1">
        <f t="shared" si="26"/>
        <v>0</v>
      </c>
      <c r="S86" s="1">
        <f t="shared" si="26"/>
        <v>0</v>
      </c>
      <c r="T86" s="1">
        <f t="shared" si="26"/>
        <v>0</v>
      </c>
      <c r="U86" s="1">
        <f t="shared" si="25"/>
        <v>0</v>
      </c>
      <c r="X86" s="1" t="str">
        <f t="shared" si="21"/>
        <v/>
      </c>
      <c r="Y86" s="1" t="str">
        <f t="shared" si="22"/>
        <v/>
      </c>
      <c r="Z86" s="1" t="str">
        <f t="shared" si="23"/>
        <v/>
      </c>
    </row>
    <row r="87" spans="1:26" x14ac:dyDescent="0.35">
      <c r="A87">
        <v>78</v>
      </c>
      <c r="B87">
        <v>0</v>
      </c>
      <c r="C87">
        <v>0</v>
      </c>
      <c r="D87">
        <v>2025</v>
      </c>
      <c r="E87">
        <v>8</v>
      </c>
      <c r="F87">
        <v>21</v>
      </c>
      <c r="G87">
        <v>0</v>
      </c>
      <c r="H87">
        <v>24</v>
      </c>
      <c r="I87">
        <v>51.838999999999999</v>
      </c>
      <c r="J87" s="3">
        <f t="shared" si="20"/>
        <v>1815891.8389999999</v>
      </c>
      <c r="K87" s="1">
        <f t="shared" si="24"/>
        <v>16.649999999906868</v>
      </c>
      <c r="L87" s="1" t="str">
        <f t="shared" si="26"/>
        <v/>
      </c>
      <c r="M87" s="1" t="str">
        <f t="shared" si="26"/>
        <v/>
      </c>
      <c r="N87" s="1">
        <f t="shared" si="26"/>
        <v>0</v>
      </c>
      <c r="O87" s="1">
        <f t="shared" si="26"/>
        <v>0</v>
      </c>
      <c r="P87" s="1">
        <f t="shared" si="26"/>
        <v>0</v>
      </c>
      <c r="Q87" s="1">
        <f t="shared" si="26"/>
        <v>0</v>
      </c>
      <c r="R87" s="1">
        <f t="shared" si="26"/>
        <v>0</v>
      </c>
      <c r="S87" s="1">
        <f t="shared" si="26"/>
        <v>0</v>
      </c>
      <c r="T87" s="1">
        <f t="shared" si="26"/>
        <v>0</v>
      </c>
      <c r="U87" s="1">
        <f t="shared" si="25"/>
        <v>0</v>
      </c>
      <c r="X87" s="1" t="str">
        <f t="shared" si="21"/>
        <v/>
      </c>
      <c r="Y87" s="1" t="str">
        <f t="shared" si="22"/>
        <v/>
      </c>
      <c r="Z87" s="1">
        <f t="shared" si="23"/>
        <v>16.649999999906868</v>
      </c>
    </row>
    <row r="88" spans="1:26" x14ac:dyDescent="0.35">
      <c r="A88">
        <v>79</v>
      </c>
      <c r="B88">
        <v>1</v>
      </c>
      <c r="C88">
        <v>3</v>
      </c>
      <c r="D88">
        <v>2025</v>
      </c>
      <c r="E88">
        <v>8</v>
      </c>
      <c r="F88">
        <v>21</v>
      </c>
      <c r="G88">
        <v>0</v>
      </c>
      <c r="H88">
        <v>25</v>
      </c>
      <c r="I88">
        <v>7.7649999999999997</v>
      </c>
      <c r="J88" s="3">
        <f t="shared" si="20"/>
        <v>1815907.7649999999</v>
      </c>
      <c r="K88" s="1">
        <f t="shared" si="24"/>
        <v>15.925999999977648</v>
      </c>
      <c r="L88" s="1" t="str">
        <f t="shared" si="26"/>
        <v/>
      </c>
      <c r="M88" s="1" t="str">
        <f t="shared" si="26"/>
        <v/>
      </c>
      <c r="N88" s="1">
        <f t="shared" si="26"/>
        <v>1</v>
      </c>
      <c r="O88" s="1">
        <f t="shared" si="26"/>
        <v>1</v>
      </c>
      <c r="P88" s="1">
        <f t="shared" si="26"/>
        <v>1</v>
      </c>
      <c r="Q88" s="1">
        <f t="shared" si="26"/>
        <v>1</v>
      </c>
      <c r="R88" s="1">
        <f t="shared" si="26"/>
        <v>1</v>
      </c>
      <c r="S88" s="1">
        <f t="shared" si="26"/>
        <v>1</v>
      </c>
      <c r="T88" s="1">
        <f t="shared" si="26"/>
        <v>1</v>
      </c>
      <c r="U88" s="1">
        <f t="shared" si="25"/>
        <v>1</v>
      </c>
      <c r="X88" s="1" t="str">
        <f t="shared" si="21"/>
        <v/>
      </c>
      <c r="Y88" s="1" t="str">
        <f t="shared" si="22"/>
        <v/>
      </c>
      <c r="Z88" s="1">
        <f t="shared" si="23"/>
        <v>15.925999999977648</v>
      </c>
    </row>
    <row r="89" spans="1:26" x14ac:dyDescent="0.35">
      <c r="A89">
        <v>80</v>
      </c>
      <c r="B89">
        <v>0</v>
      </c>
      <c r="C89">
        <v>0</v>
      </c>
      <c r="D89">
        <v>2025</v>
      </c>
      <c r="E89">
        <v>8</v>
      </c>
      <c r="F89">
        <v>21</v>
      </c>
      <c r="G89">
        <v>0</v>
      </c>
      <c r="H89">
        <v>25</v>
      </c>
      <c r="I89">
        <v>32.768000000000001</v>
      </c>
      <c r="J89" s="3">
        <f t="shared" si="20"/>
        <v>1815932.7679999999</v>
      </c>
      <c r="K89" s="1">
        <f t="shared" si="24"/>
        <v>25.003000000026077</v>
      </c>
      <c r="L89" s="1" t="str">
        <f t="shared" si="26"/>
        <v/>
      </c>
      <c r="M89" s="1" t="str">
        <f t="shared" si="26"/>
        <v/>
      </c>
      <c r="N89" s="1" t="str">
        <f t="shared" si="26"/>
        <v/>
      </c>
      <c r="O89" s="1" t="str">
        <f t="shared" si="26"/>
        <v/>
      </c>
      <c r="P89" s="1">
        <f t="shared" si="26"/>
        <v>0</v>
      </c>
      <c r="Q89" s="1">
        <f t="shared" si="26"/>
        <v>0</v>
      </c>
      <c r="R89" s="1">
        <f t="shared" si="26"/>
        <v>0</v>
      </c>
      <c r="S89" s="1">
        <f t="shared" si="26"/>
        <v>0</v>
      </c>
      <c r="T89" s="1">
        <f t="shared" si="26"/>
        <v>0</v>
      </c>
      <c r="U89" s="1">
        <f t="shared" si="25"/>
        <v>0</v>
      </c>
      <c r="X89" s="1" t="str">
        <f t="shared" si="21"/>
        <v/>
      </c>
      <c r="Y89" s="1" t="str">
        <f t="shared" si="22"/>
        <v/>
      </c>
      <c r="Z89" s="1" t="str">
        <f t="shared" si="23"/>
        <v/>
      </c>
    </row>
    <row r="90" spans="1:26" x14ac:dyDescent="0.35">
      <c r="A90">
        <v>81</v>
      </c>
      <c r="B90">
        <v>0</v>
      </c>
      <c r="C90">
        <v>0</v>
      </c>
      <c r="D90">
        <v>2025</v>
      </c>
      <c r="E90">
        <v>8</v>
      </c>
      <c r="F90">
        <v>21</v>
      </c>
      <c r="G90">
        <v>0</v>
      </c>
      <c r="H90">
        <v>25</v>
      </c>
      <c r="I90">
        <v>43.93</v>
      </c>
      <c r="J90" s="3">
        <f t="shared" si="20"/>
        <v>1815943.93</v>
      </c>
      <c r="K90" s="1">
        <f t="shared" si="24"/>
        <v>11.162000000011176</v>
      </c>
      <c r="L90" s="1" t="str">
        <f t="shared" si="26"/>
        <v/>
      </c>
      <c r="M90" s="1">
        <f t="shared" si="26"/>
        <v>0</v>
      </c>
      <c r="N90" s="1">
        <f t="shared" si="26"/>
        <v>0</v>
      </c>
      <c r="O90" s="1">
        <f t="shared" si="26"/>
        <v>0</v>
      </c>
      <c r="P90" s="1">
        <f t="shared" si="26"/>
        <v>0</v>
      </c>
      <c r="Q90" s="1">
        <f t="shared" si="26"/>
        <v>0</v>
      </c>
      <c r="R90" s="1">
        <f t="shared" si="26"/>
        <v>0</v>
      </c>
      <c r="S90" s="1">
        <f t="shared" si="26"/>
        <v>0</v>
      </c>
      <c r="T90" s="1">
        <f t="shared" si="26"/>
        <v>0</v>
      </c>
      <c r="U90" s="1">
        <f t="shared" si="25"/>
        <v>0</v>
      </c>
      <c r="X90" s="1" t="str">
        <f t="shared" si="21"/>
        <v/>
      </c>
      <c r="Y90" s="1">
        <f t="shared" si="22"/>
        <v>11.162000000011176</v>
      </c>
      <c r="Z90" s="1">
        <f t="shared" si="23"/>
        <v>11.162000000011176</v>
      </c>
    </row>
    <row r="91" spans="1:26" x14ac:dyDescent="0.35">
      <c r="A91">
        <v>82</v>
      </c>
      <c r="B91">
        <v>1</v>
      </c>
      <c r="C91">
        <v>3</v>
      </c>
      <c r="D91">
        <v>2025</v>
      </c>
      <c r="E91">
        <v>8</v>
      </c>
      <c r="F91">
        <v>21</v>
      </c>
      <c r="G91">
        <v>0</v>
      </c>
      <c r="H91">
        <v>25</v>
      </c>
      <c r="I91">
        <v>54.786999999999999</v>
      </c>
      <c r="J91" s="3">
        <f t="shared" si="20"/>
        <v>1815954.787</v>
      </c>
      <c r="K91" s="1">
        <f t="shared" si="24"/>
        <v>10.857000000076368</v>
      </c>
      <c r="L91" s="1" t="str">
        <f t="shared" ref="L91:T100" si="27">IF($K91&lt;L$4,$B91,"")</f>
        <v/>
      </c>
      <c r="M91" s="1">
        <f t="shared" si="27"/>
        <v>1</v>
      </c>
      <c r="N91" s="1">
        <f t="shared" si="27"/>
        <v>1</v>
      </c>
      <c r="O91" s="1">
        <f t="shared" si="27"/>
        <v>1</v>
      </c>
      <c r="P91" s="1">
        <f t="shared" si="27"/>
        <v>1</v>
      </c>
      <c r="Q91" s="1">
        <f t="shared" si="27"/>
        <v>1</v>
      </c>
      <c r="R91" s="1">
        <f t="shared" si="27"/>
        <v>1</v>
      </c>
      <c r="S91" s="1">
        <f t="shared" si="27"/>
        <v>1</v>
      </c>
      <c r="T91" s="1">
        <f t="shared" si="27"/>
        <v>1</v>
      </c>
      <c r="U91" s="1">
        <f t="shared" si="25"/>
        <v>1</v>
      </c>
      <c r="X91" s="1" t="str">
        <f t="shared" si="21"/>
        <v/>
      </c>
      <c r="Y91" s="1">
        <f t="shared" si="22"/>
        <v>10.857000000076368</v>
      </c>
      <c r="Z91" s="1">
        <f t="shared" si="23"/>
        <v>10.857000000076368</v>
      </c>
    </row>
    <row r="92" spans="1:26" x14ac:dyDescent="0.35">
      <c r="A92">
        <v>83</v>
      </c>
      <c r="B92">
        <v>0</v>
      </c>
      <c r="C92">
        <v>0</v>
      </c>
      <c r="D92">
        <v>2025</v>
      </c>
      <c r="E92">
        <v>8</v>
      </c>
      <c r="F92">
        <v>21</v>
      </c>
      <c r="G92">
        <v>0</v>
      </c>
      <c r="H92">
        <v>26</v>
      </c>
      <c r="I92">
        <v>7.3609999999999998</v>
      </c>
      <c r="J92" s="3">
        <f t="shared" si="20"/>
        <v>1815967.361</v>
      </c>
      <c r="K92" s="1">
        <f t="shared" si="24"/>
        <v>12.574000000022352</v>
      </c>
      <c r="L92" s="1" t="str">
        <f t="shared" si="27"/>
        <v/>
      </c>
      <c r="M92" s="1">
        <f t="shared" si="27"/>
        <v>0</v>
      </c>
      <c r="N92" s="1">
        <f t="shared" si="27"/>
        <v>0</v>
      </c>
      <c r="O92" s="1">
        <f t="shared" si="27"/>
        <v>0</v>
      </c>
      <c r="P92" s="1">
        <f t="shared" si="27"/>
        <v>0</v>
      </c>
      <c r="Q92" s="1">
        <f t="shared" si="27"/>
        <v>0</v>
      </c>
      <c r="R92" s="1">
        <f t="shared" si="27"/>
        <v>0</v>
      </c>
      <c r="S92" s="1">
        <f t="shared" si="27"/>
        <v>0</v>
      </c>
      <c r="T92" s="1">
        <f t="shared" si="27"/>
        <v>0</v>
      </c>
      <c r="U92" s="1">
        <f t="shared" si="25"/>
        <v>0</v>
      </c>
      <c r="X92" s="1" t="str">
        <f t="shared" si="21"/>
        <v/>
      </c>
      <c r="Y92" s="1">
        <f t="shared" si="22"/>
        <v>12.574000000022352</v>
      </c>
      <c r="Z92" s="1">
        <f t="shared" si="23"/>
        <v>12.574000000022352</v>
      </c>
    </row>
    <row r="93" spans="1:26" x14ac:dyDescent="0.35">
      <c r="A93">
        <v>84</v>
      </c>
      <c r="B93">
        <v>0</v>
      </c>
      <c r="C93">
        <v>0</v>
      </c>
      <c r="D93">
        <v>2025</v>
      </c>
      <c r="E93">
        <v>8</v>
      </c>
      <c r="F93">
        <v>21</v>
      </c>
      <c r="G93">
        <v>0</v>
      </c>
      <c r="H93">
        <v>26</v>
      </c>
      <c r="I93">
        <v>18.899999999999999</v>
      </c>
      <c r="J93" s="3">
        <f t="shared" si="20"/>
        <v>1815978.9</v>
      </c>
      <c r="K93" s="1">
        <f t="shared" si="24"/>
        <v>11.53899999987334</v>
      </c>
      <c r="L93" s="1" t="str">
        <f t="shared" si="27"/>
        <v/>
      </c>
      <c r="M93" s="1">
        <f t="shared" si="27"/>
        <v>0</v>
      </c>
      <c r="N93" s="1">
        <f t="shared" si="27"/>
        <v>0</v>
      </c>
      <c r="O93" s="1">
        <f t="shared" si="27"/>
        <v>0</v>
      </c>
      <c r="P93" s="1">
        <f t="shared" si="27"/>
        <v>0</v>
      </c>
      <c r="Q93" s="1">
        <f t="shared" si="27"/>
        <v>0</v>
      </c>
      <c r="R93" s="1">
        <f t="shared" si="27"/>
        <v>0</v>
      </c>
      <c r="S93" s="1">
        <f t="shared" si="27"/>
        <v>0</v>
      </c>
      <c r="T93" s="1">
        <f t="shared" si="27"/>
        <v>0</v>
      </c>
      <c r="U93" s="1">
        <f t="shared" si="25"/>
        <v>0</v>
      </c>
      <c r="X93" s="1" t="str">
        <f t="shared" si="21"/>
        <v/>
      </c>
      <c r="Y93" s="1">
        <f t="shared" si="22"/>
        <v>11.53899999987334</v>
      </c>
      <c r="Z93" s="1">
        <f t="shared" si="23"/>
        <v>11.53899999987334</v>
      </c>
    </row>
    <row r="94" spans="1:26" x14ac:dyDescent="0.35">
      <c r="A94">
        <v>85</v>
      </c>
      <c r="B94">
        <v>0</v>
      </c>
      <c r="C94">
        <v>0</v>
      </c>
      <c r="D94">
        <v>2025</v>
      </c>
      <c r="E94">
        <v>8</v>
      </c>
      <c r="F94">
        <v>21</v>
      </c>
      <c r="G94">
        <v>0</v>
      </c>
      <c r="H94">
        <v>26</v>
      </c>
      <c r="I94">
        <v>30.12</v>
      </c>
      <c r="J94" s="3">
        <f t="shared" si="20"/>
        <v>1815990.12</v>
      </c>
      <c r="K94" s="1">
        <f t="shared" si="24"/>
        <v>11.220000000204891</v>
      </c>
      <c r="L94" s="1" t="str">
        <f t="shared" si="27"/>
        <v/>
      </c>
      <c r="M94" s="1">
        <f t="shared" si="27"/>
        <v>0</v>
      </c>
      <c r="N94" s="1">
        <f t="shared" si="27"/>
        <v>0</v>
      </c>
      <c r="O94" s="1">
        <f t="shared" si="27"/>
        <v>0</v>
      </c>
      <c r="P94" s="1">
        <f t="shared" si="27"/>
        <v>0</v>
      </c>
      <c r="Q94" s="1">
        <f t="shared" si="27"/>
        <v>0</v>
      </c>
      <c r="R94" s="1">
        <f t="shared" si="27"/>
        <v>0</v>
      </c>
      <c r="S94" s="1">
        <f t="shared" si="27"/>
        <v>0</v>
      </c>
      <c r="T94" s="1">
        <f t="shared" si="27"/>
        <v>0</v>
      </c>
      <c r="U94" s="1">
        <f t="shared" si="25"/>
        <v>0</v>
      </c>
      <c r="X94" s="1" t="str">
        <f t="shared" si="21"/>
        <v/>
      </c>
      <c r="Y94" s="1">
        <f t="shared" si="22"/>
        <v>11.220000000204891</v>
      </c>
      <c r="Z94" s="1">
        <f t="shared" si="23"/>
        <v>11.220000000204891</v>
      </c>
    </row>
    <row r="95" spans="1:26" x14ac:dyDescent="0.35">
      <c r="A95">
        <v>86</v>
      </c>
      <c r="B95">
        <v>0</v>
      </c>
      <c r="C95">
        <v>1</v>
      </c>
      <c r="D95">
        <v>2025</v>
      </c>
      <c r="E95">
        <v>8</v>
      </c>
      <c r="F95">
        <v>21</v>
      </c>
      <c r="G95">
        <v>0</v>
      </c>
      <c r="H95">
        <v>26</v>
      </c>
      <c r="I95">
        <v>40.811999999999998</v>
      </c>
      <c r="J95" s="3">
        <f t="shared" si="20"/>
        <v>1816000.8119999999</v>
      </c>
      <c r="K95" s="1">
        <f t="shared" si="24"/>
        <v>10.691999999806285</v>
      </c>
      <c r="L95" s="1" t="str">
        <f t="shared" si="27"/>
        <v/>
      </c>
      <c r="M95" s="1">
        <f t="shared" si="27"/>
        <v>0</v>
      </c>
      <c r="N95" s="1">
        <f t="shared" si="27"/>
        <v>0</v>
      </c>
      <c r="O95" s="1">
        <f t="shared" si="27"/>
        <v>0</v>
      </c>
      <c r="P95" s="1">
        <f t="shared" si="27"/>
        <v>0</v>
      </c>
      <c r="Q95" s="1">
        <f t="shared" si="27"/>
        <v>0</v>
      </c>
      <c r="R95" s="1">
        <f t="shared" si="27"/>
        <v>0</v>
      </c>
      <c r="S95" s="1">
        <f t="shared" si="27"/>
        <v>0</v>
      </c>
      <c r="T95" s="1">
        <f t="shared" si="27"/>
        <v>0</v>
      </c>
      <c r="U95" s="1">
        <f t="shared" si="25"/>
        <v>0</v>
      </c>
      <c r="X95" s="1" t="str">
        <f t="shared" si="21"/>
        <v/>
      </c>
      <c r="Y95" s="1">
        <f t="shared" si="22"/>
        <v>10.691999999806285</v>
      </c>
      <c r="Z95" s="1">
        <f t="shared" si="23"/>
        <v>10.691999999806285</v>
      </c>
    </row>
    <row r="96" spans="1:26" x14ac:dyDescent="0.35">
      <c r="A96">
        <v>87</v>
      </c>
      <c r="B96">
        <v>0</v>
      </c>
      <c r="C96">
        <v>0</v>
      </c>
      <c r="D96">
        <v>2025</v>
      </c>
      <c r="E96">
        <v>8</v>
      </c>
      <c r="F96">
        <v>21</v>
      </c>
      <c r="G96">
        <v>0</v>
      </c>
      <c r="H96">
        <v>26</v>
      </c>
      <c r="I96">
        <v>52.719000000000001</v>
      </c>
      <c r="J96" s="3">
        <f t="shared" si="20"/>
        <v>1816012.719</v>
      </c>
      <c r="K96" s="1">
        <f t="shared" si="24"/>
        <v>11.907000000122935</v>
      </c>
      <c r="L96" s="1" t="str">
        <f t="shared" si="27"/>
        <v/>
      </c>
      <c r="M96" s="1">
        <f t="shared" si="27"/>
        <v>0</v>
      </c>
      <c r="N96" s="1">
        <f t="shared" si="27"/>
        <v>0</v>
      </c>
      <c r="O96" s="1">
        <f t="shared" si="27"/>
        <v>0</v>
      </c>
      <c r="P96" s="1">
        <f t="shared" si="27"/>
        <v>0</v>
      </c>
      <c r="Q96" s="1">
        <f t="shared" si="27"/>
        <v>0</v>
      </c>
      <c r="R96" s="1">
        <f t="shared" si="27"/>
        <v>0</v>
      </c>
      <c r="S96" s="1">
        <f t="shared" si="27"/>
        <v>0</v>
      </c>
      <c r="T96" s="1">
        <f t="shared" si="27"/>
        <v>0</v>
      </c>
      <c r="U96" s="1">
        <f t="shared" si="25"/>
        <v>0</v>
      </c>
      <c r="X96" s="1" t="str">
        <f t="shared" si="21"/>
        <v/>
      </c>
      <c r="Y96" s="1">
        <f t="shared" si="22"/>
        <v>11.907000000122935</v>
      </c>
      <c r="Z96" s="1">
        <f t="shared" si="23"/>
        <v>11.907000000122935</v>
      </c>
    </row>
    <row r="97" spans="1:26" x14ac:dyDescent="0.35">
      <c r="A97">
        <v>88</v>
      </c>
      <c r="B97">
        <v>0</v>
      </c>
      <c r="C97">
        <v>0</v>
      </c>
      <c r="D97">
        <v>2025</v>
      </c>
      <c r="E97">
        <v>8</v>
      </c>
      <c r="F97">
        <v>21</v>
      </c>
      <c r="G97">
        <v>0</v>
      </c>
      <c r="H97">
        <v>27</v>
      </c>
      <c r="I97">
        <v>8.5</v>
      </c>
      <c r="J97" s="3">
        <f t="shared" si="20"/>
        <v>1816028.5</v>
      </c>
      <c r="K97" s="1">
        <f t="shared" si="24"/>
        <v>15.780999999959022</v>
      </c>
      <c r="L97" s="1" t="str">
        <f t="shared" si="27"/>
        <v/>
      </c>
      <c r="M97" s="1" t="str">
        <f t="shared" si="27"/>
        <v/>
      </c>
      <c r="N97" s="1">
        <f t="shared" si="27"/>
        <v>0</v>
      </c>
      <c r="O97" s="1">
        <f t="shared" si="27"/>
        <v>0</v>
      </c>
      <c r="P97" s="1">
        <f t="shared" si="27"/>
        <v>0</v>
      </c>
      <c r="Q97" s="1">
        <f t="shared" si="27"/>
        <v>0</v>
      </c>
      <c r="R97" s="1">
        <f t="shared" si="27"/>
        <v>0</v>
      </c>
      <c r="S97" s="1">
        <f t="shared" si="27"/>
        <v>0</v>
      </c>
      <c r="T97" s="1">
        <f t="shared" si="27"/>
        <v>0</v>
      </c>
      <c r="U97" s="1">
        <f t="shared" si="25"/>
        <v>0</v>
      </c>
      <c r="X97" s="1" t="str">
        <f t="shared" si="21"/>
        <v/>
      </c>
      <c r="Y97" s="1" t="str">
        <f t="shared" si="22"/>
        <v/>
      </c>
      <c r="Z97" s="1">
        <f t="shared" si="23"/>
        <v>15.780999999959022</v>
      </c>
    </row>
    <row r="98" spans="1:26" x14ac:dyDescent="0.35">
      <c r="A98">
        <v>89</v>
      </c>
      <c r="B98">
        <v>1</v>
      </c>
      <c r="C98">
        <v>3</v>
      </c>
      <c r="D98">
        <v>2025</v>
      </c>
      <c r="E98">
        <v>8</v>
      </c>
      <c r="F98">
        <v>21</v>
      </c>
      <c r="G98">
        <v>0</v>
      </c>
      <c r="H98">
        <v>27</v>
      </c>
      <c r="I98">
        <v>22.515000000000001</v>
      </c>
      <c r="J98" s="3">
        <f t="shared" si="20"/>
        <v>1816042.5149999999</v>
      </c>
      <c r="K98" s="1">
        <f t="shared" si="24"/>
        <v>14.014999999897555</v>
      </c>
      <c r="L98" s="1" t="str">
        <f t="shared" si="27"/>
        <v/>
      </c>
      <c r="M98" s="1">
        <f t="shared" si="27"/>
        <v>1</v>
      </c>
      <c r="N98" s="1">
        <f t="shared" si="27"/>
        <v>1</v>
      </c>
      <c r="O98" s="1">
        <f t="shared" si="27"/>
        <v>1</v>
      </c>
      <c r="P98" s="1">
        <f t="shared" si="27"/>
        <v>1</v>
      </c>
      <c r="Q98" s="1">
        <f t="shared" si="27"/>
        <v>1</v>
      </c>
      <c r="R98" s="1">
        <f t="shared" si="27"/>
        <v>1</v>
      </c>
      <c r="S98" s="1">
        <f t="shared" si="27"/>
        <v>1</v>
      </c>
      <c r="T98" s="1">
        <f t="shared" si="27"/>
        <v>1</v>
      </c>
      <c r="U98" s="1">
        <f t="shared" si="25"/>
        <v>1</v>
      </c>
      <c r="X98" s="1" t="str">
        <f t="shared" si="21"/>
        <v/>
      </c>
      <c r="Y98" s="1">
        <f t="shared" si="22"/>
        <v>14.014999999897555</v>
      </c>
      <c r="Z98" s="1">
        <f t="shared" si="23"/>
        <v>14.014999999897555</v>
      </c>
    </row>
    <row r="99" spans="1:26" x14ac:dyDescent="0.35">
      <c r="A99">
        <v>90</v>
      </c>
      <c r="B99">
        <v>0</v>
      </c>
      <c r="C99">
        <v>0</v>
      </c>
      <c r="D99">
        <v>2025</v>
      </c>
      <c r="E99">
        <v>8</v>
      </c>
      <c r="F99">
        <v>21</v>
      </c>
      <c r="G99">
        <v>0</v>
      </c>
      <c r="H99">
        <v>33</v>
      </c>
      <c r="I99">
        <v>28.297999999999998</v>
      </c>
      <c r="J99" s="3">
        <f t="shared" si="20"/>
        <v>1816408.298</v>
      </c>
      <c r="K99" s="1">
        <f t="shared" si="24"/>
        <v>365.78300000005402</v>
      </c>
      <c r="L99" s="1" t="str">
        <f t="shared" si="27"/>
        <v/>
      </c>
      <c r="M99" s="1" t="str">
        <f t="shared" si="27"/>
        <v/>
      </c>
      <c r="N99" s="1" t="str">
        <f t="shared" si="27"/>
        <v/>
      </c>
      <c r="O99" s="1" t="str">
        <f t="shared" si="27"/>
        <v/>
      </c>
      <c r="P99" s="1" t="str">
        <f t="shared" si="27"/>
        <v/>
      </c>
      <c r="Q99" s="1" t="str">
        <f t="shared" si="27"/>
        <v/>
      </c>
      <c r="R99" s="1" t="str">
        <f t="shared" si="27"/>
        <v/>
      </c>
      <c r="S99" s="1" t="str">
        <f t="shared" si="27"/>
        <v/>
      </c>
      <c r="T99" s="1" t="str">
        <f t="shared" si="27"/>
        <v/>
      </c>
      <c r="U99" s="1">
        <f t="shared" si="25"/>
        <v>0</v>
      </c>
      <c r="X99" s="1" t="str">
        <f t="shared" si="21"/>
        <v/>
      </c>
      <c r="Y99" s="1" t="str">
        <f t="shared" si="22"/>
        <v/>
      </c>
      <c r="Z99" s="1" t="str">
        <f t="shared" si="23"/>
        <v/>
      </c>
    </row>
    <row r="100" spans="1:26" x14ac:dyDescent="0.35">
      <c r="A100">
        <v>91</v>
      </c>
      <c r="B100">
        <v>1</v>
      </c>
      <c r="C100">
        <v>3</v>
      </c>
      <c r="D100">
        <v>2025</v>
      </c>
      <c r="E100">
        <v>8</v>
      </c>
      <c r="F100">
        <v>21</v>
      </c>
      <c r="G100">
        <v>0</v>
      </c>
      <c r="H100">
        <v>34</v>
      </c>
      <c r="I100">
        <v>0.34699999999999998</v>
      </c>
      <c r="J100" s="3">
        <f t="shared" si="20"/>
        <v>1816440.3470000001</v>
      </c>
      <c r="K100" s="1">
        <f t="shared" si="24"/>
        <v>32.049000000115484</v>
      </c>
      <c r="L100" s="1" t="str">
        <f t="shared" si="27"/>
        <v/>
      </c>
      <c r="M100" s="1" t="str">
        <f t="shared" si="27"/>
        <v/>
      </c>
      <c r="N100" s="1" t="str">
        <f t="shared" si="27"/>
        <v/>
      </c>
      <c r="O100" s="1" t="str">
        <f t="shared" si="27"/>
        <v/>
      </c>
      <c r="P100" s="1" t="str">
        <f t="shared" si="27"/>
        <v/>
      </c>
      <c r="Q100" s="1">
        <f t="shared" si="27"/>
        <v>1</v>
      </c>
      <c r="R100" s="1">
        <f t="shared" si="27"/>
        <v>1</v>
      </c>
      <c r="S100" s="1">
        <f t="shared" si="27"/>
        <v>1</v>
      </c>
      <c r="T100" s="1">
        <f t="shared" si="27"/>
        <v>1</v>
      </c>
      <c r="U100" s="1">
        <f t="shared" si="25"/>
        <v>1</v>
      </c>
      <c r="X100" s="1" t="str">
        <f t="shared" si="21"/>
        <v/>
      </c>
      <c r="Y100" s="1" t="str">
        <f t="shared" si="22"/>
        <v/>
      </c>
      <c r="Z100" s="1" t="str">
        <f t="shared" si="23"/>
        <v/>
      </c>
    </row>
    <row r="101" spans="1:26" x14ac:dyDescent="0.35">
      <c r="A101">
        <v>92</v>
      </c>
      <c r="B101">
        <v>1</v>
      </c>
      <c r="C101">
        <v>3</v>
      </c>
      <c r="D101">
        <v>2025</v>
      </c>
      <c r="E101">
        <v>8</v>
      </c>
      <c r="F101">
        <v>21</v>
      </c>
      <c r="G101">
        <v>0</v>
      </c>
      <c r="H101">
        <v>34</v>
      </c>
      <c r="I101">
        <v>13.151999999999999</v>
      </c>
      <c r="J101" s="3">
        <f t="shared" si="20"/>
        <v>1816453.152</v>
      </c>
      <c r="K101" s="1">
        <f t="shared" si="24"/>
        <v>12.804999999934807</v>
      </c>
      <c r="L101" s="1" t="str">
        <f t="shared" ref="L101:T110" si="28">IF($K101&lt;L$4,$B101,"")</f>
        <v/>
      </c>
      <c r="M101" s="1">
        <f t="shared" si="28"/>
        <v>1</v>
      </c>
      <c r="N101" s="1">
        <f t="shared" si="28"/>
        <v>1</v>
      </c>
      <c r="O101" s="1">
        <f t="shared" si="28"/>
        <v>1</v>
      </c>
      <c r="P101" s="1">
        <f t="shared" si="28"/>
        <v>1</v>
      </c>
      <c r="Q101" s="1">
        <f t="shared" si="28"/>
        <v>1</v>
      </c>
      <c r="R101" s="1">
        <f t="shared" si="28"/>
        <v>1</v>
      </c>
      <c r="S101" s="1">
        <f t="shared" si="28"/>
        <v>1</v>
      </c>
      <c r="T101" s="1">
        <f t="shared" si="28"/>
        <v>1</v>
      </c>
      <c r="U101" s="1">
        <f t="shared" si="25"/>
        <v>1</v>
      </c>
      <c r="X101" s="1" t="str">
        <f t="shared" si="21"/>
        <v/>
      </c>
      <c r="Y101" s="1">
        <f t="shared" si="22"/>
        <v>12.804999999934807</v>
      </c>
      <c r="Z101" s="1">
        <f t="shared" si="23"/>
        <v>12.804999999934807</v>
      </c>
    </row>
    <row r="102" spans="1:26" x14ac:dyDescent="0.35">
      <c r="A102">
        <v>93</v>
      </c>
      <c r="B102">
        <v>0</v>
      </c>
      <c r="C102">
        <v>0</v>
      </c>
      <c r="D102">
        <v>2025</v>
      </c>
      <c r="E102">
        <v>8</v>
      </c>
      <c r="F102">
        <v>21</v>
      </c>
      <c r="G102">
        <v>0</v>
      </c>
      <c r="H102">
        <v>34</v>
      </c>
      <c r="I102">
        <v>21.167999999999999</v>
      </c>
      <c r="J102" s="3">
        <f t="shared" si="20"/>
        <v>1816461.1680000001</v>
      </c>
      <c r="K102" s="1">
        <f t="shared" si="24"/>
        <v>8.0160000000614673</v>
      </c>
      <c r="L102" s="1">
        <f t="shared" si="28"/>
        <v>0</v>
      </c>
      <c r="M102" s="1">
        <f t="shared" si="28"/>
        <v>0</v>
      </c>
      <c r="N102" s="1">
        <f t="shared" si="28"/>
        <v>0</v>
      </c>
      <c r="O102" s="1">
        <f t="shared" si="28"/>
        <v>0</v>
      </c>
      <c r="P102" s="1">
        <f t="shared" si="28"/>
        <v>0</v>
      </c>
      <c r="Q102" s="1">
        <f t="shared" si="28"/>
        <v>0</v>
      </c>
      <c r="R102" s="1">
        <f t="shared" si="28"/>
        <v>0</v>
      </c>
      <c r="S102" s="1">
        <f t="shared" si="28"/>
        <v>0</v>
      </c>
      <c r="T102" s="1">
        <f t="shared" si="28"/>
        <v>0</v>
      </c>
      <c r="U102" s="1">
        <f t="shared" si="25"/>
        <v>0</v>
      </c>
      <c r="X102" s="1">
        <f t="shared" si="21"/>
        <v>8.0160000000614673</v>
      </c>
      <c r="Y102" s="1">
        <f t="shared" si="22"/>
        <v>8.0160000000614673</v>
      </c>
      <c r="Z102" s="1">
        <f t="shared" si="23"/>
        <v>8.0160000000614673</v>
      </c>
    </row>
    <row r="103" spans="1:26" x14ac:dyDescent="0.35">
      <c r="A103">
        <v>94</v>
      </c>
      <c r="B103">
        <v>0</v>
      </c>
      <c r="C103">
        <v>0</v>
      </c>
      <c r="D103">
        <v>2025</v>
      </c>
      <c r="E103">
        <v>8</v>
      </c>
      <c r="F103">
        <v>21</v>
      </c>
      <c r="G103">
        <v>0</v>
      </c>
      <c r="H103">
        <v>34</v>
      </c>
      <c r="I103">
        <v>58.41</v>
      </c>
      <c r="J103" s="3">
        <f t="shared" si="20"/>
        <v>1816498.41</v>
      </c>
      <c r="K103" s="1">
        <f t="shared" si="24"/>
        <v>37.241999999852851</v>
      </c>
      <c r="L103" s="1" t="str">
        <f t="shared" si="28"/>
        <v/>
      </c>
      <c r="M103" s="1" t="str">
        <f t="shared" si="28"/>
        <v/>
      </c>
      <c r="N103" s="1" t="str">
        <f t="shared" si="28"/>
        <v/>
      </c>
      <c r="O103" s="1" t="str">
        <f t="shared" si="28"/>
        <v/>
      </c>
      <c r="P103" s="1" t="str">
        <f t="shared" si="28"/>
        <v/>
      </c>
      <c r="Q103" s="1" t="str">
        <f t="shared" si="28"/>
        <v/>
      </c>
      <c r="R103" s="1">
        <f t="shared" si="28"/>
        <v>0</v>
      </c>
      <c r="S103" s="1">
        <f t="shared" si="28"/>
        <v>0</v>
      </c>
      <c r="T103" s="1">
        <f t="shared" si="28"/>
        <v>0</v>
      </c>
      <c r="U103" s="1">
        <f t="shared" si="25"/>
        <v>0</v>
      </c>
      <c r="X103" s="1" t="str">
        <f t="shared" si="21"/>
        <v/>
      </c>
      <c r="Y103" s="1" t="str">
        <f t="shared" si="22"/>
        <v/>
      </c>
      <c r="Z103" s="1" t="str">
        <f t="shared" si="23"/>
        <v/>
      </c>
    </row>
    <row r="104" spans="1:26" x14ac:dyDescent="0.35">
      <c r="A104">
        <v>95</v>
      </c>
      <c r="B104">
        <v>1</v>
      </c>
      <c r="C104">
        <v>3</v>
      </c>
      <c r="D104">
        <v>2025</v>
      </c>
      <c r="E104">
        <v>8</v>
      </c>
      <c r="F104">
        <v>21</v>
      </c>
      <c r="G104">
        <v>0</v>
      </c>
      <c r="H104">
        <v>35</v>
      </c>
      <c r="I104">
        <v>9.6340000000000003</v>
      </c>
      <c r="J104" s="3">
        <f t="shared" si="20"/>
        <v>1816509.6340000001</v>
      </c>
      <c r="K104" s="1">
        <f t="shared" si="24"/>
        <v>11.22400000016205</v>
      </c>
      <c r="L104" s="1" t="str">
        <f t="shared" si="28"/>
        <v/>
      </c>
      <c r="M104" s="1">
        <f t="shared" si="28"/>
        <v>1</v>
      </c>
      <c r="N104" s="1">
        <f t="shared" si="28"/>
        <v>1</v>
      </c>
      <c r="O104" s="1">
        <f t="shared" si="28"/>
        <v>1</v>
      </c>
      <c r="P104" s="1">
        <f t="shared" si="28"/>
        <v>1</v>
      </c>
      <c r="Q104" s="1">
        <f t="shared" si="28"/>
        <v>1</v>
      </c>
      <c r="R104" s="1">
        <f t="shared" si="28"/>
        <v>1</v>
      </c>
      <c r="S104" s="1">
        <f t="shared" si="28"/>
        <v>1</v>
      </c>
      <c r="T104" s="1">
        <f t="shared" si="28"/>
        <v>1</v>
      </c>
      <c r="U104" s="1">
        <f t="shared" si="25"/>
        <v>1</v>
      </c>
      <c r="X104" s="1" t="str">
        <f t="shared" si="21"/>
        <v/>
      </c>
      <c r="Y104" s="1">
        <f t="shared" si="22"/>
        <v>11.22400000016205</v>
      </c>
      <c r="Z104" s="1">
        <f t="shared" si="23"/>
        <v>11.22400000016205</v>
      </c>
    </row>
    <row r="105" spans="1:26" x14ac:dyDescent="0.35">
      <c r="A105">
        <v>96</v>
      </c>
      <c r="B105">
        <v>1</v>
      </c>
      <c r="C105">
        <v>3</v>
      </c>
      <c r="D105">
        <v>2025</v>
      </c>
      <c r="E105">
        <v>8</v>
      </c>
      <c r="F105">
        <v>21</v>
      </c>
      <c r="G105">
        <v>0</v>
      </c>
      <c r="H105">
        <v>35</v>
      </c>
      <c r="I105">
        <v>21.632000000000001</v>
      </c>
      <c r="J105" s="3">
        <f t="shared" si="20"/>
        <v>1816521.632</v>
      </c>
      <c r="K105" s="1">
        <f t="shared" si="24"/>
        <v>11.997999999905005</v>
      </c>
      <c r="L105" s="1" t="str">
        <f t="shared" si="28"/>
        <v/>
      </c>
      <c r="M105" s="1">
        <f t="shared" si="28"/>
        <v>1</v>
      </c>
      <c r="N105" s="1">
        <f t="shared" si="28"/>
        <v>1</v>
      </c>
      <c r="O105" s="1">
        <f t="shared" si="28"/>
        <v>1</v>
      </c>
      <c r="P105" s="1">
        <f t="shared" si="28"/>
        <v>1</v>
      </c>
      <c r="Q105" s="1">
        <f t="shared" si="28"/>
        <v>1</v>
      </c>
      <c r="R105" s="1">
        <f t="shared" si="28"/>
        <v>1</v>
      </c>
      <c r="S105" s="1">
        <f t="shared" si="28"/>
        <v>1</v>
      </c>
      <c r="T105" s="1">
        <f t="shared" si="28"/>
        <v>1</v>
      </c>
      <c r="U105" s="1">
        <f t="shared" si="25"/>
        <v>1</v>
      </c>
      <c r="X105" s="1" t="str">
        <f t="shared" si="21"/>
        <v/>
      </c>
      <c r="Y105" s="1">
        <f t="shared" si="22"/>
        <v>11.997999999905005</v>
      </c>
      <c r="Z105" s="1">
        <f t="shared" si="23"/>
        <v>11.997999999905005</v>
      </c>
    </row>
    <row r="106" spans="1:26" x14ac:dyDescent="0.35">
      <c r="A106">
        <v>97</v>
      </c>
      <c r="B106">
        <v>1</v>
      </c>
      <c r="C106">
        <v>3</v>
      </c>
      <c r="D106">
        <v>2025</v>
      </c>
      <c r="E106">
        <v>8</v>
      </c>
      <c r="F106">
        <v>21</v>
      </c>
      <c r="G106">
        <v>0</v>
      </c>
      <c r="H106">
        <v>35</v>
      </c>
      <c r="I106">
        <v>30.187000000000001</v>
      </c>
      <c r="J106" s="3">
        <f t="shared" si="20"/>
        <v>1816530.1869999999</v>
      </c>
      <c r="K106" s="1">
        <f t="shared" si="24"/>
        <v>8.5549999999348074</v>
      </c>
      <c r="L106" s="1">
        <f t="shared" si="28"/>
        <v>1</v>
      </c>
      <c r="M106" s="1">
        <f t="shared" si="28"/>
        <v>1</v>
      </c>
      <c r="N106" s="1">
        <f t="shared" si="28"/>
        <v>1</v>
      </c>
      <c r="O106" s="1">
        <f t="shared" si="28"/>
        <v>1</v>
      </c>
      <c r="P106" s="1">
        <f t="shared" si="28"/>
        <v>1</v>
      </c>
      <c r="Q106" s="1">
        <f t="shared" si="28"/>
        <v>1</v>
      </c>
      <c r="R106" s="1">
        <f t="shared" si="28"/>
        <v>1</v>
      </c>
      <c r="S106" s="1">
        <f t="shared" si="28"/>
        <v>1</v>
      </c>
      <c r="T106" s="1">
        <f t="shared" si="28"/>
        <v>1</v>
      </c>
      <c r="U106" s="1">
        <f t="shared" si="25"/>
        <v>1</v>
      </c>
      <c r="X106" s="1">
        <f t="shared" si="21"/>
        <v>8.5549999999348074</v>
      </c>
      <c r="Y106" s="1">
        <f t="shared" si="22"/>
        <v>8.5549999999348074</v>
      </c>
      <c r="Z106" s="1">
        <f t="shared" si="23"/>
        <v>8.5549999999348074</v>
      </c>
    </row>
    <row r="107" spans="1:26" x14ac:dyDescent="0.35">
      <c r="A107">
        <v>98</v>
      </c>
      <c r="B107">
        <v>1</v>
      </c>
      <c r="C107">
        <v>3</v>
      </c>
      <c r="D107">
        <v>2025</v>
      </c>
      <c r="E107">
        <v>8</v>
      </c>
      <c r="F107">
        <v>21</v>
      </c>
      <c r="G107">
        <v>0</v>
      </c>
      <c r="H107">
        <v>35</v>
      </c>
      <c r="I107">
        <v>41.847999999999999</v>
      </c>
      <c r="J107" s="3">
        <f t="shared" si="20"/>
        <v>1816541.848</v>
      </c>
      <c r="K107" s="1">
        <f t="shared" si="24"/>
        <v>11.661000000080094</v>
      </c>
      <c r="L107" s="1" t="str">
        <f t="shared" si="28"/>
        <v/>
      </c>
      <c r="M107" s="1">
        <f t="shared" si="28"/>
        <v>1</v>
      </c>
      <c r="N107" s="1">
        <f t="shared" si="28"/>
        <v>1</v>
      </c>
      <c r="O107" s="1">
        <f t="shared" si="28"/>
        <v>1</v>
      </c>
      <c r="P107" s="1">
        <f t="shared" si="28"/>
        <v>1</v>
      </c>
      <c r="Q107" s="1">
        <f t="shared" si="28"/>
        <v>1</v>
      </c>
      <c r="R107" s="1">
        <f t="shared" si="28"/>
        <v>1</v>
      </c>
      <c r="S107" s="1">
        <f t="shared" si="28"/>
        <v>1</v>
      </c>
      <c r="T107" s="1">
        <f t="shared" si="28"/>
        <v>1</v>
      </c>
      <c r="U107" s="1">
        <f t="shared" si="25"/>
        <v>1</v>
      </c>
      <c r="X107" s="1" t="str">
        <f t="shared" ref="X107:X138" si="29">IF($K107&lt;L$4,$K107,"")</f>
        <v/>
      </c>
      <c r="Y107" s="1">
        <f t="shared" ref="Y107:Y138" si="30">IF($K107&lt;M$4,$K107,"")</f>
        <v>11.661000000080094</v>
      </c>
      <c r="Z107" s="1">
        <f t="shared" ref="Z107:Z138" si="31">IF($K107&lt;N$4,$K107,"")</f>
        <v>11.661000000080094</v>
      </c>
    </row>
    <row r="108" spans="1:26" x14ac:dyDescent="0.35">
      <c r="A108">
        <v>99</v>
      </c>
      <c r="B108">
        <v>0</v>
      </c>
      <c r="C108">
        <v>0</v>
      </c>
      <c r="D108">
        <v>2025</v>
      </c>
      <c r="E108">
        <v>8</v>
      </c>
      <c r="F108">
        <v>21</v>
      </c>
      <c r="G108">
        <v>0</v>
      </c>
      <c r="H108">
        <v>35</v>
      </c>
      <c r="I108">
        <v>51.237000000000002</v>
      </c>
      <c r="J108" s="3">
        <f t="shared" si="20"/>
        <v>1816551.237</v>
      </c>
      <c r="K108" s="1">
        <f t="shared" si="24"/>
        <v>9.3889999999664724</v>
      </c>
      <c r="L108" s="1">
        <f t="shared" si="28"/>
        <v>0</v>
      </c>
      <c r="M108" s="1">
        <f t="shared" si="28"/>
        <v>0</v>
      </c>
      <c r="N108" s="1">
        <f t="shared" si="28"/>
        <v>0</v>
      </c>
      <c r="O108" s="1">
        <f t="shared" si="28"/>
        <v>0</v>
      </c>
      <c r="P108" s="1">
        <f t="shared" si="28"/>
        <v>0</v>
      </c>
      <c r="Q108" s="1">
        <f t="shared" si="28"/>
        <v>0</v>
      </c>
      <c r="R108" s="1">
        <f t="shared" si="28"/>
        <v>0</v>
      </c>
      <c r="S108" s="1">
        <f t="shared" si="28"/>
        <v>0</v>
      </c>
      <c r="T108" s="1">
        <f t="shared" si="28"/>
        <v>0</v>
      </c>
      <c r="U108" s="1">
        <f t="shared" si="25"/>
        <v>0</v>
      </c>
      <c r="X108" s="1">
        <f t="shared" si="29"/>
        <v>9.3889999999664724</v>
      </c>
      <c r="Y108" s="1">
        <f t="shared" si="30"/>
        <v>9.3889999999664724</v>
      </c>
      <c r="Z108" s="1">
        <f t="shared" si="31"/>
        <v>9.3889999999664724</v>
      </c>
    </row>
    <row r="109" spans="1:26" x14ac:dyDescent="0.35">
      <c r="A109">
        <v>100</v>
      </c>
      <c r="B109">
        <v>0</v>
      </c>
      <c r="C109">
        <v>0</v>
      </c>
      <c r="D109">
        <v>2025</v>
      </c>
      <c r="E109">
        <v>8</v>
      </c>
      <c r="F109">
        <v>21</v>
      </c>
      <c r="G109">
        <v>0</v>
      </c>
      <c r="H109">
        <v>36</v>
      </c>
      <c r="I109">
        <v>4.1399999999999997</v>
      </c>
      <c r="J109" s="3">
        <f t="shared" si="20"/>
        <v>1816564.14</v>
      </c>
      <c r="K109" s="1">
        <f t="shared" si="24"/>
        <v>12.902999999932945</v>
      </c>
      <c r="L109" s="1" t="str">
        <f t="shared" si="28"/>
        <v/>
      </c>
      <c r="M109" s="1">
        <f t="shared" si="28"/>
        <v>0</v>
      </c>
      <c r="N109" s="1">
        <f t="shared" si="28"/>
        <v>0</v>
      </c>
      <c r="O109" s="1">
        <f t="shared" si="28"/>
        <v>0</v>
      </c>
      <c r="P109" s="1">
        <f t="shared" si="28"/>
        <v>0</v>
      </c>
      <c r="Q109" s="1">
        <f t="shared" si="28"/>
        <v>0</v>
      </c>
      <c r="R109" s="1">
        <f t="shared" si="28"/>
        <v>0</v>
      </c>
      <c r="S109" s="1">
        <f t="shared" si="28"/>
        <v>0</v>
      </c>
      <c r="T109" s="1">
        <f t="shared" si="28"/>
        <v>0</v>
      </c>
      <c r="U109" s="1">
        <f t="shared" si="25"/>
        <v>0</v>
      </c>
      <c r="X109" s="1" t="str">
        <f t="shared" si="29"/>
        <v/>
      </c>
      <c r="Y109" s="1">
        <f t="shared" si="30"/>
        <v>12.902999999932945</v>
      </c>
      <c r="Z109" s="1">
        <f t="shared" si="31"/>
        <v>12.902999999932945</v>
      </c>
    </row>
    <row r="110" spans="1:26" x14ac:dyDescent="0.35">
      <c r="A110">
        <v>101</v>
      </c>
      <c r="B110">
        <v>1</v>
      </c>
      <c r="C110">
        <v>3</v>
      </c>
      <c r="D110">
        <v>2025</v>
      </c>
      <c r="E110">
        <v>8</v>
      </c>
      <c r="F110">
        <v>21</v>
      </c>
      <c r="G110">
        <v>0</v>
      </c>
      <c r="H110">
        <v>36</v>
      </c>
      <c r="I110">
        <v>14.631</v>
      </c>
      <c r="J110" s="3">
        <f t="shared" si="20"/>
        <v>1816574.6310000001</v>
      </c>
      <c r="K110" s="1">
        <f t="shared" si="24"/>
        <v>10.4910000001546</v>
      </c>
      <c r="L110" s="1" t="str">
        <f t="shared" si="28"/>
        <v/>
      </c>
      <c r="M110" s="1">
        <f t="shared" si="28"/>
        <v>1</v>
      </c>
      <c r="N110" s="1">
        <f t="shared" si="28"/>
        <v>1</v>
      </c>
      <c r="O110" s="1">
        <f t="shared" si="28"/>
        <v>1</v>
      </c>
      <c r="P110" s="1">
        <f t="shared" si="28"/>
        <v>1</v>
      </c>
      <c r="Q110" s="1">
        <f t="shared" si="28"/>
        <v>1</v>
      </c>
      <c r="R110" s="1">
        <f t="shared" si="28"/>
        <v>1</v>
      </c>
      <c r="S110" s="1">
        <f t="shared" si="28"/>
        <v>1</v>
      </c>
      <c r="T110" s="1">
        <f t="shared" si="28"/>
        <v>1</v>
      </c>
      <c r="U110" s="1">
        <f t="shared" si="25"/>
        <v>1</v>
      </c>
      <c r="X110" s="1" t="str">
        <f t="shared" si="29"/>
        <v/>
      </c>
      <c r="Y110" s="1">
        <f t="shared" si="30"/>
        <v>10.4910000001546</v>
      </c>
      <c r="Z110" s="1">
        <f t="shared" si="31"/>
        <v>10.4910000001546</v>
      </c>
    </row>
    <row r="111" spans="1:26" x14ac:dyDescent="0.35">
      <c r="A111">
        <v>102</v>
      </c>
      <c r="B111">
        <v>1</v>
      </c>
      <c r="C111">
        <v>3</v>
      </c>
      <c r="D111">
        <v>2025</v>
      </c>
      <c r="E111">
        <v>8</v>
      </c>
      <c r="F111">
        <v>21</v>
      </c>
      <c r="G111">
        <v>0</v>
      </c>
      <c r="H111">
        <v>36</v>
      </c>
      <c r="I111">
        <v>24.92</v>
      </c>
      <c r="J111" s="3">
        <f t="shared" si="20"/>
        <v>1816584.92</v>
      </c>
      <c r="K111" s="1">
        <f t="shared" si="24"/>
        <v>10.28899999987334</v>
      </c>
      <c r="L111" s="1" t="str">
        <f t="shared" ref="L111:T120" si="32">IF($K111&lt;L$4,$B111,"")</f>
        <v/>
      </c>
      <c r="M111" s="1">
        <f t="shared" si="32"/>
        <v>1</v>
      </c>
      <c r="N111" s="1">
        <f t="shared" si="32"/>
        <v>1</v>
      </c>
      <c r="O111" s="1">
        <f t="shared" si="32"/>
        <v>1</v>
      </c>
      <c r="P111" s="1">
        <f t="shared" si="32"/>
        <v>1</v>
      </c>
      <c r="Q111" s="1">
        <f t="shared" si="32"/>
        <v>1</v>
      </c>
      <c r="R111" s="1">
        <f t="shared" si="32"/>
        <v>1</v>
      </c>
      <c r="S111" s="1">
        <f t="shared" si="32"/>
        <v>1</v>
      </c>
      <c r="T111" s="1">
        <f t="shared" si="32"/>
        <v>1</v>
      </c>
      <c r="U111" s="1">
        <f t="shared" si="25"/>
        <v>1</v>
      </c>
      <c r="X111" s="1" t="str">
        <f t="shared" si="29"/>
        <v/>
      </c>
      <c r="Y111" s="1">
        <f t="shared" si="30"/>
        <v>10.28899999987334</v>
      </c>
      <c r="Z111" s="1">
        <f t="shared" si="31"/>
        <v>10.28899999987334</v>
      </c>
    </row>
    <row r="112" spans="1:26" x14ac:dyDescent="0.35">
      <c r="A112">
        <v>103</v>
      </c>
      <c r="B112">
        <v>0</v>
      </c>
      <c r="C112">
        <v>0</v>
      </c>
      <c r="D112">
        <v>2025</v>
      </c>
      <c r="E112">
        <v>8</v>
      </c>
      <c r="F112">
        <v>21</v>
      </c>
      <c r="G112">
        <v>0</v>
      </c>
      <c r="H112">
        <v>36</v>
      </c>
      <c r="I112">
        <v>34.207000000000001</v>
      </c>
      <c r="J112" s="3">
        <f t="shared" si="20"/>
        <v>1816594.2069999999</v>
      </c>
      <c r="K112" s="1">
        <f t="shared" si="24"/>
        <v>9.2870000000111759</v>
      </c>
      <c r="L112" s="1">
        <f t="shared" si="32"/>
        <v>0</v>
      </c>
      <c r="M112" s="1">
        <f t="shared" si="32"/>
        <v>0</v>
      </c>
      <c r="N112" s="1">
        <f t="shared" si="32"/>
        <v>0</v>
      </c>
      <c r="O112" s="1">
        <f t="shared" si="32"/>
        <v>0</v>
      </c>
      <c r="P112" s="1">
        <f t="shared" si="32"/>
        <v>0</v>
      </c>
      <c r="Q112" s="1">
        <f t="shared" si="32"/>
        <v>0</v>
      </c>
      <c r="R112" s="1">
        <f t="shared" si="32"/>
        <v>0</v>
      </c>
      <c r="S112" s="1">
        <f t="shared" si="32"/>
        <v>0</v>
      </c>
      <c r="T112" s="1">
        <f t="shared" si="32"/>
        <v>0</v>
      </c>
      <c r="U112" s="1">
        <f t="shared" si="25"/>
        <v>0</v>
      </c>
      <c r="X112" s="1">
        <f t="shared" si="29"/>
        <v>9.2870000000111759</v>
      </c>
      <c r="Y112" s="1">
        <f t="shared" si="30"/>
        <v>9.2870000000111759</v>
      </c>
      <c r="Z112" s="1">
        <f t="shared" si="31"/>
        <v>9.2870000000111759</v>
      </c>
    </row>
    <row r="113" spans="1:26" x14ac:dyDescent="0.35">
      <c r="A113">
        <v>104</v>
      </c>
      <c r="B113">
        <v>1</v>
      </c>
      <c r="C113">
        <v>3</v>
      </c>
      <c r="D113">
        <v>2025</v>
      </c>
      <c r="E113">
        <v>8</v>
      </c>
      <c r="F113">
        <v>21</v>
      </c>
      <c r="G113">
        <v>0</v>
      </c>
      <c r="H113">
        <v>36</v>
      </c>
      <c r="I113">
        <v>44.466999999999999</v>
      </c>
      <c r="J113" s="3">
        <f t="shared" si="20"/>
        <v>1816604.4669999999</v>
      </c>
      <c r="K113" s="1">
        <f t="shared" si="24"/>
        <v>10.260000000009313</v>
      </c>
      <c r="L113" s="1" t="str">
        <f t="shared" si="32"/>
        <v/>
      </c>
      <c r="M113" s="1">
        <f t="shared" si="32"/>
        <v>1</v>
      </c>
      <c r="N113" s="1">
        <f t="shared" si="32"/>
        <v>1</v>
      </c>
      <c r="O113" s="1">
        <f t="shared" si="32"/>
        <v>1</v>
      </c>
      <c r="P113" s="1">
        <f t="shared" si="32"/>
        <v>1</v>
      </c>
      <c r="Q113" s="1">
        <f t="shared" si="32"/>
        <v>1</v>
      </c>
      <c r="R113" s="1">
        <f t="shared" si="32"/>
        <v>1</v>
      </c>
      <c r="S113" s="1">
        <f t="shared" si="32"/>
        <v>1</v>
      </c>
      <c r="T113" s="1">
        <f t="shared" si="32"/>
        <v>1</v>
      </c>
      <c r="U113" s="1">
        <f t="shared" si="25"/>
        <v>1</v>
      </c>
      <c r="X113" s="1" t="str">
        <f t="shared" si="29"/>
        <v/>
      </c>
      <c r="Y113" s="1">
        <f t="shared" si="30"/>
        <v>10.260000000009313</v>
      </c>
      <c r="Z113" s="1">
        <f t="shared" si="31"/>
        <v>10.260000000009313</v>
      </c>
    </row>
    <row r="114" spans="1:26" x14ac:dyDescent="0.35">
      <c r="A114">
        <v>105</v>
      </c>
      <c r="B114">
        <v>1</v>
      </c>
      <c r="C114">
        <v>3</v>
      </c>
      <c r="D114">
        <v>2025</v>
      </c>
      <c r="E114">
        <v>8</v>
      </c>
      <c r="F114">
        <v>21</v>
      </c>
      <c r="G114">
        <v>0</v>
      </c>
      <c r="H114">
        <v>36</v>
      </c>
      <c r="I114">
        <v>59.551000000000002</v>
      </c>
      <c r="J114" s="3">
        <f t="shared" si="20"/>
        <v>1816619.551</v>
      </c>
      <c r="K114" s="1">
        <f t="shared" si="24"/>
        <v>15.084000000031665</v>
      </c>
      <c r="L114" s="1" t="str">
        <f t="shared" si="32"/>
        <v/>
      </c>
      <c r="M114" s="1" t="str">
        <f t="shared" si="32"/>
        <v/>
      </c>
      <c r="N114" s="1">
        <f t="shared" si="32"/>
        <v>1</v>
      </c>
      <c r="O114" s="1">
        <f t="shared" si="32"/>
        <v>1</v>
      </c>
      <c r="P114" s="1">
        <f t="shared" si="32"/>
        <v>1</v>
      </c>
      <c r="Q114" s="1">
        <f t="shared" si="32"/>
        <v>1</v>
      </c>
      <c r="R114" s="1">
        <f t="shared" si="32"/>
        <v>1</v>
      </c>
      <c r="S114" s="1">
        <f t="shared" si="32"/>
        <v>1</v>
      </c>
      <c r="T114" s="1">
        <f t="shared" si="32"/>
        <v>1</v>
      </c>
      <c r="U114" s="1">
        <f t="shared" si="25"/>
        <v>1</v>
      </c>
      <c r="X114" s="1" t="str">
        <f t="shared" si="29"/>
        <v/>
      </c>
      <c r="Y114" s="1" t="str">
        <f t="shared" si="30"/>
        <v/>
      </c>
      <c r="Z114" s="1">
        <f t="shared" si="31"/>
        <v>15.084000000031665</v>
      </c>
    </row>
    <row r="115" spans="1:26" x14ac:dyDescent="0.35">
      <c r="A115">
        <v>106</v>
      </c>
      <c r="B115">
        <v>1</v>
      </c>
      <c r="C115">
        <v>3</v>
      </c>
      <c r="D115">
        <v>2025</v>
      </c>
      <c r="E115">
        <v>8</v>
      </c>
      <c r="F115">
        <v>21</v>
      </c>
      <c r="G115">
        <v>0</v>
      </c>
      <c r="H115">
        <v>37</v>
      </c>
      <c r="I115">
        <v>11.215999999999999</v>
      </c>
      <c r="J115" s="3">
        <f t="shared" si="20"/>
        <v>1816631.216</v>
      </c>
      <c r="K115" s="1">
        <f t="shared" si="24"/>
        <v>11.665000000037253</v>
      </c>
      <c r="L115" s="1" t="str">
        <f t="shared" si="32"/>
        <v/>
      </c>
      <c r="M115" s="1">
        <f t="shared" si="32"/>
        <v>1</v>
      </c>
      <c r="N115" s="1">
        <f t="shared" si="32"/>
        <v>1</v>
      </c>
      <c r="O115" s="1">
        <f t="shared" si="32"/>
        <v>1</v>
      </c>
      <c r="P115" s="1">
        <f t="shared" si="32"/>
        <v>1</v>
      </c>
      <c r="Q115" s="1">
        <f t="shared" si="32"/>
        <v>1</v>
      </c>
      <c r="R115" s="1">
        <f t="shared" si="32"/>
        <v>1</v>
      </c>
      <c r="S115" s="1">
        <f t="shared" si="32"/>
        <v>1</v>
      </c>
      <c r="T115" s="1">
        <f t="shared" si="32"/>
        <v>1</v>
      </c>
      <c r="U115" s="1">
        <f t="shared" si="25"/>
        <v>1</v>
      </c>
      <c r="X115" s="1" t="str">
        <f t="shared" si="29"/>
        <v/>
      </c>
      <c r="Y115" s="1">
        <f t="shared" si="30"/>
        <v>11.665000000037253</v>
      </c>
      <c r="Z115" s="1">
        <f t="shared" si="31"/>
        <v>11.665000000037253</v>
      </c>
    </row>
    <row r="116" spans="1:26" x14ac:dyDescent="0.35">
      <c r="A116">
        <v>107</v>
      </c>
      <c r="B116">
        <v>1</v>
      </c>
      <c r="C116">
        <v>3</v>
      </c>
      <c r="D116">
        <v>2025</v>
      </c>
      <c r="E116">
        <v>8</v>
      </c>
      <c r="F116">
        <v>21</v>
      </c>
      <c r="G116">
        <v>0</v>
      </c>
      <c r="H116">
        <v>37</v>
      </c>
      <c r="I116">
        <v>22.713000000000001</v>
      </c>
      <c r="J116" s="3">
        <f t="shared" si="20"/>
        <v>1816642.713</v>
      </c>
      <c r="K116" s="1">
        <f t="shared" si="24"/>
        <v>11.496999999973923</v>
      </c>
      <c r="L116" s="1" t="str">
        <f t="shared" si="32"/>
        <v/>
      </c>
      <c r="M116" s="1">
        <f t="shared" si="32"/>
        <v>1</v>
      </c>
      <c r="N116" s="1">
        <f t="shared" si="32"/>
        <v>1</v>
      </c>
      <c r="O116" s="1">
        <f t="shared" si="32"/>
        <v>1</v>
      </c>
      <c r="P116" s="1">
        <f t="shared" si="32"/>
        <v>1</v>
      </c>
      <c r="Q116" s="1">
        <f t="shared" si="32"/>
        <v>1</v>
      </c>
      <c r="R116" s="1">
        <f t="shared" si="32"/>
        <v>1</v>
      </c>
      <c r="S116" s="1">
        <f t="shared" si="32"/>
        <v>1</v>
      </c>
      <c r="T116" s="1">
        <f t="shared" si="32"/>
        <v>1</v>
      </c>
      <c r="U116" s="1">
        <f t="shared" si="25"/>
        <v>1</v>
      </c>
      <c r="X116" s="1" t="str">
        <f t="shared" si="29"/>
        <v/>
      </c>
      <c r="Y116" s="1">
        <f t="shared" si="30"/>
        <v>11.496999999973923</v>
      </c>
      <c r="Z116" s="1">
        <f t="shared" si="31"/>
        <v>11.496999999973923</v>
      </c>
    </row>
    <row r="117" spans="1:26" x14ac:dyDescent="0.35">
      <c r="A117">
        <v>108</v>
      </c>
      <c r="B117">
        <v>1</v>
      </c>
      <c r="C117">
        <v>3</v>
      </c>
      <c r="D117">
        <v>2025</v>
      </c>
      <c r="E117">
        <v>8</v>
      </c>
      <c r="F117">
        <v>21</v>
      </c>
      <c r="G117">
        <v>0</v>
      </c>
      <c r="H117">
        <v>37</v>
      </c>
      <c r="I117">
        <v>40.918999999999997</v>
      </c>
      <c r="J117" s="3">
        <f t="shared" si="20"/>
        <v>1816660.919</v>
      </c>
      <c r="K117" s="1">
        <f t="shared" si="24"/>
        <v>18.206000000005588</v>
      </c>
      <c r="L117" s="1" t="str">
        <f t="shared" si="32"/>
        <v/>
      </c>
      <c r="M117" s="1" t="str">
        <f t="shared" si="32"/>
        <v/>
      </c>
      <c r="N117" s="1">
        <f t="shared" si="32"/>
        <v>1</v>
      </c>
      <c r="O117" s="1">
        <f t="shared" si="32"/>
        <v>1</v>
      </c>
      <c r="P117" s="1">
        <f t="shared" si="32"/>
        <v>1</v>
      </c>
      <c r="Q117" s="1">
        <f t="shared" si="32"/>
        <v>1</v>
      </c>
      <c r="R117" s="1">
        <f t="shared" si="32"/>
        <v>1</v>
      </c>
      <c r="S117" s="1">
        <f t="shared" si="32"/>
        <v>1</v>
      </c>
      <c r="T117" s="1">
        <f t="shared" si="32"/>
        <v>1</v>
      </c>
      <c r="U117" s="1">
        <f t="shared" si="25"/>
        <v>1</v>
      </c>
      <c r="X117" s="1" t="str">
        <f t="shared" si="29"/>
        <v/>
      </c>
      <c r="Y117" s="1" t="str">
        <f t="shared" si="30"/>
        <v/>
      </c>
      <c r="Z117" s="1">
        <f t="shared" si="31"/>
        <v>18.206000000005588</v>
      </c>
    </row>
    <row r="118" spans="1:26" x14ac:dyDescent="0.35">
      <c r="A118">
        <v>109</v>
      </c>
      <c r="B118">
        <v>0</v>
      </c>
      <c r="C118">
        <v>3</v>
      </c>
      <c r="D118">
        <v>2025</v>
      </c>
      <c r="E118">
        <v>8</v>
      </c>
      <c r="F118">
        <v>21</v>
      </c>
      <c r="G118">
        <v>0</v>
      </c>
      <c r="H118">
        <v>38</v>
      </c>
      <c r="I118">
        <v>48.432000000000002</v>
      </c>
      <c r="J118" s="3">
        <f t="shared" si="20"/>
        <v>1816728.432</v>
      </c>
      <c r="K118" s="1">
        <f t="shared" si="24"/>
        <v>67.51300000003539</v>
      </c>
      <c r="L118" s="1" t="str">
        <f t="shared" si="32"/>
        <v/>
      </c>
      <c r="M118" s="1" t="str">
        <f t="shared" si="32"/>
        <v/>
      </c>
      <c r="N118" s="1" t="str">
        <f t="shared" si="32"/>
        <v/>
      </c>
      <c r="O118" s="1" t="str">
        <f t="shared" si="32"/>
        <v/>
      </c>
      <c r="P118" s="1" t="str">
        <f t="shared" si="32"/>
        <v/>
      </c>
      <c r="Q118" s="1" t="str">
        <f t="shared" si="32"/>
        <v/>
      </c>
      <c r="R118" s="1" t="str">
        <f t="shared" si="32"/>
        <v/>
      </c>
      <c r="S118" s="1" t="str">
        <f t="shared" si="32"/>
        <v/>
      </c>
      <c r="T118" s="1" t="str">
        <f t="shared" si="32"/>
        <v/>
      </c>
      <c r="U118" s="1">
        <f t="shared" si="25"/>
        <v>0</v>
      </c>
      <c r="X118" s="1" t="str">
        <f t="shared" si="29"/>
        <v/>
      </c>
      <c r="Y118" s="1" t="str">
        <f t="shared" si="30"/>
        <v/>
      </c>
      <c r="Z118" s="1" t="str">
        <f t="shared" si="31"/>
        <v/>
      </c>
    </row>
    <row r="119" spans="1:26" x14ac:dyDescent="0.35">
      <c r="A119">
        <v>110</v>
      </c>
      <c r="B119">
        <v>0</v>
      </c>
      <c r="C119">
        <v>3</v>
      </c>
      <c r="D119">
        <v>2025</v>
      </c>
      <c r="E119">
        <v>8</v>
      </c>
      <c r="F119">
        <v>21</v>
      </c>
      <c r="G119">
        <v>0</v>
      </c>
      <c r="H119">
        <v>39</v>
      </c>
      <c r="I119">
        <v>2.306</v>
      </c>
      <c r="J119" s="3">
        <f t="shared" si="20"/>
        <v>1816742.3060000001</v>
      </c>
      <c r="K119" s="1">
        <f t="shared" si="24"/>
        <v>13.874000000068918</v>
      </c>
      <c r="L119" s="1" t="str">
        <f t="shared" si="32"/>
        <v/>
      </c>
      <c r="M119" s="1">
        <f t="shared" si="32"/>
        <v>0</v>
      </c>
      <c r="N119" s="1">
        <f t="shared" si="32"/>
        <v>0</v>
      </c>
      <c r="O119" s="1">
        <f t="shared" si="32"/>
        <v>0</v>
      </c>
      <c r="P119" s="1">
        <f t="shared" si="32"/>
        <v>0</v>
      </c>
      <c r="Q119" s="1">
        <f t="shared" si="32"/>
        <v>0</v>
      </c>
      <c r="R119" s="1">
        <f t="shared" si="32"/>
        <v>0</v>
      </c>
      <c r="S119" s="1">
        <f t="shared" si="32"/>
        <v>0</v>
      </c>
      <c r="T119" s="1">
        <f t="shared" si="32"/>
        <v>0</v>
      </c>
      <c r="U119" s="1">
        <f t="shared" si="25"/>
        <v>0</v>
      </c>
      <c r="X119" s="1" t="str">
        <f t="shared" si="29"/>
        <v/>
      </c>
      <c r="Y119" s="1">
        <f t="shared" si="30"/>
        <v>13.874000000068918</v>
      </c>
      <c r="Z119" s="1">
        <f t="shared" si="31"/>
        <v>13.874000000068918</v>
      </c>
    </row>
    <row r="120" spans="1:26" x14ac:dyDescent="0.35">
      <c r="A120">
        <v>111</v>
      </c>
      <c r="B120">
        <v>1</v>
      </c>
      <c r="C120">
        <v>0</v>
      </c>
      <c r="D120">
        <v>2025</v>
      </c>
      <c r="E120">
        <v>8</v>
      </c>
      <c r="F120">
        <v>21</v>
      </c>
      <c r="G120">
        <v>0</v>
      </c>
      <c r="H120">
        <v>45</v>
      </c>
      <c r="I120">
        <v>17.946000000000002</v>
      </c>
      <c r="J120" s="3">
        <f t="shared" si="20"/>
        <v>1817117.946</v>
      </c>
      <c r="K120" s="1">
        <f t="shared" si="24"/>
        <v>375.63999999989755</v>
      </c>
      <c r="L120" s="1" t="str">
        <f t="shared" si="32"/>
        <v/>
      </c>
      <c r="M120" s="1" t="str">
        <f t="shared" si="32"/>
        <v/>
      </c>
      <c r="N120" s="1" t="str">
        <f t="shared" si="32"/>
        <v/>
      </c>
      <c r="O120" s="1" t="str">
        <f t="shared" si="32"/>
        <v/>
      </c>
      <c r="P120" s="1" t="str">
        <f t="shared" si="32"/>
        <v/>
      </c>
      <c r="Q120" s="1" t="str">
        <f t="shared" si="32"/>
        <v/>
      </c>
      <c r="R120" s="1" t="str">
        <f t="shared" si="32"/>
        <v/>
      </c>
      <c r="S120" s="1" t="str">
        <f t="shared" si="32"/>
        <v/>
      </c>
      <c r="T120" s="1" t="str">
        <f t="shared" si="32"/>
        <v/>
      </c>
      <c r="U120" s="1">
        <f t="shared" si="25"/>
        <v>1</v>
      </c>
      <c r="X120" s="1" t="str">
        <f t="shared" si="29"/>
        <v/>
      </c>
      <c r="Y120" s="1" t="str">
        <f t="shared" si="30"/>
        <v/>
      </c>
      <c r="Z120" s="1" t="str">
        <f t="shared" si="31"/>
        <v/>
      </c>
    </row>
    <row r="121" spans="1:26" x14ac:dyDescent="0.35">
      <c r="A121">
        <v>112</v>
      </c>
      <c r="B121">
        <v>1</v>
      </c>
      <c r="C121">
        <v>0</v>
      </c>
      <c r="D121">
        <v>2025</v>
      </c>
      <c r="E121">
        <v>8</v>
      </c>
      <c r="F121">
        <v>21</v>
      </c>
      <c r="G121">
        <v>0</v>
      </c>
      <c r="H121">
        <v>45</v>
      </c>
      <c r="I121">
        <v>35.613999999999997</v>
      </c>
      <c r="J121" s="3">
        <f t="shared" si="20"/>
        <v>1817135.6140000001</v>
      </c>
      <c r="K121" s="1">
        <f t="shared" si="24"/>
        <v>17.66800000006333</v>
      </c>
      <c r="L121" s="1" t="str">
        <f t="shared" ref="L121:T130" si="33">IF($K121&lt;L$4,$B121,"")</f>
        <v/>
      </c>
      <c r="M121" s="1" t="str">
        <f t="shared" si="33"/>
        <v/>
      </c>
      <c r="N121" s="1">
        <f t="shared" si="33"/>
        <v>1</v>
      </c>
      <c r="O121" s="1">
        <f t="shared" si="33"/>
        <v>1</v>
      </c>
      <c r="P121" s="1">
        <f t="shared" si="33"/>
        <v>1</v>
      </c>
      <c r="Q121" s="1">
        <f t="shared" si="33"/>
        <v>1</v>
      </c>
      <c r="R121" s="1">
        <f t="shared" si="33"/>
        <v>1</v>
      </c>
      <c r="S121" s="1">
        <f t="shared" si="33"/>
        <v>1</v>
      </c>
      <c r="T121" s="1">
        <f t="shared" si="33"/>
        <v>1</v>
      </c>
      <c r="U121" s="1">
        <f t="shared" si="25"/>
        <v>1</v>
      </c>
      <c r="X121" s="1" t="str">
        <f t="shared" si="29"/>
        <v/>
      </c>
      <c r="Y121" s="1" t="str">
        <f t="shared" si="30"/>
        <v/>
      </c>
      <c r="Z121" s="1">
        <f t="shared" si="31"/>
        <v>17.66800000006333</v>
      </c>
    </row>
    <row r="122" spans="1:26" x14ac:dyDescent="0.35">
      <c r="A122">
        <v>113</v>
      </c>
      <c r="B122">
        <v>1</v>
      </c>
      <c r="C122">
        <v>0</v>
      </c>
      <c r="D122">
        <v>2025</v>
      </c>
      <c r="E122">
        <v>8</v>
      </c>
      <c r="F122">
        <v>21</v>
      </c>
      <c r="G122">
        <v>0</v>
      </c>
      <c r="H122">
        <v>45</v>
      </c>
      <c r="I122">
        <v>48.255000000000003</v>
      </c>
      <c r="J122" s="3">
        <f t="shared" si="20"/>
        <v>1817148.2549999999</v>
      </c>
      <c r="K122" s="1">
        <f t="shared" si="24"/>
        <v>12.640999999828637</v>
      </c>
      <c r="L122" s="1" t="str">
        <f t="shared" si="33"/>
        <v/>
      </c>
      <c r="M122" s="1">
        <f t="shared" si="33"/>
        <v>1</v>
      </c>
      <c r="N122" s="1">
        <f t="shared" si="33"/>
        <v>1</v>
      </c>
      <c r="O122" s="1">
        <f t="shared" si="33"/>
        <v>1</v>
      </c>
      <c r="P122" s="1">
        <f t="shared" si="33"/>
        <v>1</v>
      </c>
      <c r="Q122" s="1">
        <f t="shared" si="33"/>
        <v>1</v>
      </c>
      <c r="R122" s="1">
        <f t="shared" si="33"/>
        <v>1</v>
      </c>
      <c r="S122" s="1">
        <f t="shared" si="33"/>
        <v>1</v>
      </c>
      <c r="T122" s="1">
        <f t="shared" si="33"/>
        <v>1</v>
      </c>
      <c r="U122" s="1">
        <f t="shared" si="25"/>
        <v>1</v>
      </c>
      <c r="X122" s="1" t="str">
        <f t="shared" si="29"/>
        <v/>
      </c>
      <c r="Y122" s="1">
        <f t="shared" si="30"/>
        <v>12.640999999828637</v>
      </c>
      <c r="Z122" s="1">
        <f t="shared" si="31"/>
        <v>12.640999999828637</v>
      </c>
    </row>
    <row r="123" spans="1:26" x14ac:dyDescent="0.35">
      <c r="A123">
        <v>114</v>
      </c>
      <c r="B123">
        <v>1</v>
      </c>
      <c r="C123">
        <v>0</v>
      </c>
      <c r="D123">
        <v>2025</v>
      </c>
      <c r="E123">
        <v>8</v>
      </c>
      <c r="F123">
        <v>21</v>
      </c>
      <c r="G123">
        <v>0</v>
      </c>
      <c r="H123">
        <v>45</v>
      </c>
      <c r="I123">
        <v>58.439</v>
      </c>
      <c r="J123" s="3">
        <f t="shared" si="20"/>
        <v>1817158.439</v>
      </c>
      <c r="K123" s="1">
        <f t="shared" si="24"/>
        <v>10.184000000124797</v>
      </c>
      <c r="L123" s="1" t="str">
        <f t="shared" si="33"/>
        <v/>
      </c>
      <c r="M123" s="1">
        <f t="shared" si="33"/>
        <v>1</v>
      </c>
      <c r="N123" s="1">
        <f t="shared" si="33"/>
        <v>1</v>
      </c>
      <c r="O123" s="1">
        <f t="shared" si="33"/>
        <v>1</v>
      </c>
      <c r="P123" s="1">
        <f t="shared" si="33"/>
        <v>1</v>
      </c>
      <c r="Q123" s="1">
        <f t="shared" si="33"/>
        <v>1</v>
      </c>
      <c r="R123" s="1">
        <f t="shared" si="33"/>
        <v>1</v>
      </c>
      <c r="S123" s="1">
        <f t="shared" si="33"/>
        <v>1</v>
      </c>
      <c r="T123" s="1">
        <f t="shared" si="33"/>
        <v>1</v>
      </c>
      <c r="U123" s="1">
        <f t="shared" si="25"/>
        <v>1</v>
      </c>
      <c r="X123" s="1" t="str">
        <f t="shared" si="29"/>
        <v/>
      </c>
      <c r="Y123" s="1">
        <f t="shared" si="30"/>
        <v>10.184000000124797</v>
      </c>
      <c r="Z123" s="1">
        <f t="shared" si="31"/>
        <v>10.184000000124797</v>
      </c>
    </row>
    <row r="124" spans="1:26" x14ac:dyDescent="0.35">
      <c r="A124">
        <v>115</v>
      </c>
      <c r="B124">
        <v>1</v>
      </c>
      <c r="C124">
        <v>0</v>
      </c>
      <c r="D124">
        <v>2025</v>
      </c>
      <c r="E124">
        <v>8</v>
      </c>
      <c r="F124">
        <v>21</v>
      </c>
      <c r="G124">
        <v>0</v>
      </c>
      <c r="H124">
        <v>46</v>
      </c>
      <c r="I124">
        <v>12.516999999999999</v>
      </c>
      <c r="J124" s="3">
        <f t="shared" si="20"/>
        <v>1817172.517</v>
      </c>
      <c r="K124" s="1">
        <f t="shared" si="24"/>
        <v>14.077999999979511</v>
      </c>
      <c r="L124" s="1" t="str">
        <f t="shared" si="33"/>
        <v/>
      </c>
      <c r="M124" s="1">
        <f t="shared" si="33"/>
        <v>1</v>
      </c>
      <c r="N124" s="1">
        <f t="shared" si="33"/>
        <v>1</v>
      </c>
      <c r="O124" s="1">
        <f t="shared" si="33"/>
        <v>1</v>
      </c>
      <c r="P124" s="1">
        <f t="shared" si="33"/>
        <v>1</v>
      </c>
      <c r="Q124" s="1">
        <f t="shared" si="33"/>
        <v>1</v>
      </c>
      <c r="R124" s="1">
        <f t="shared" si="33"/>
        <v>1</v>
      </c>
      <c r="S124" s="1">
        <f t="shared" si="33"/>
        <v>1</v>
      </c>
      <c r="T124" s="1">
        <f t="shared" si="33"/>
        <v>1</v>
      </c>
      <c r="U124" s="1">
        <f t="shared" si="25"/>
        <v>1</v>
      </c>
      <c r="X124" s="1" t="str">
        <f t="shared" si="29"/>
        <v/>
      </c>
      <c r="Y124" s="1">
        <f t="shared" si="30"/>
        <v>14.077999999979511</v>
      </c>
      <c r="Z124" s="1">
        <f t="shared" si="31"/>
        <v>14.077999999979511</v>
      </c>
    </row>
    <row r="125" spans="1:26" x14ac:dyDescent="0.35">
      <c r="A125">
        <v>116</v>
      </c>
      <c r="B125">
        <v>1</v>
      </c>
      <c r="C125">
        <v>0</v>
      </c>
      <c r="D125">
        <v>2025</v>
      </c>
      <c r="E125">
        <v>8</v>
      </c>
      <c r="F125">
        <v>21</v>
      </c>
      <c r="G125">
        <v>0</v>
      </c>
      <c r="H125">
        <v>46</v>
      </c>
      <c r="I125">
        <v>25.629000000000001</v>
      </c>
      <c r="J125" s="3">
        <f t="shared" si="20"/>
        <v>1817185.629</v>
      </c>
      <c r="K125" s="1">
        <f t="shared" si="24"/>
        <v>13.11199999996461</v>
      </c>
      <c r="L125" s="1" t="str">
        <f t="shared" si="33"/>
        <v/>
      </c>
      <c r="M125" s="1">
        <f t="shared" si="33"/>
        <v>1</v>
      </c>
      <c r="N125" s="1">
        <f t="shared" si="33"/>
        <v>1</v>
      </c>
      <c r="O125" s="1">
        <f t="shared" si="33"/>
        <v>1</v>
      </c>
      <c r="P125" s="1">
        <f t="shared" si="33"/>
        <v>1</v>
      </c>
      <c r="Q125" s="1">
        <f t="shared" si="33"/>
        <v>1</v>
      </c>
      <c r="R125" s="1">
        <f t="shared" si="33"/>
        <v>1</v>
      </c>
      <c r="S125" s="1">
        <f t="shared" si="33"/>
        <v>1</v>
      </c>
      <c r="T125" s="1">
        <f t="shared" si="33"/>
        <v>1</v>
      </c>
      <c r="U125" s="1">
        <f t="shared" si="25"/>
        <v>1</v>
      </c>
      <c r="X125" s="1" t="str">
        <f t="shared" si="29"/>
        <v/>
      </c>
      <c r="Y125" s="1">
        <f t="shared" si="30"/>
        <v>13.11199999996461</v>
      </c>
      <c r="Z125" s="1">
        <f t="shared" si="31"/>
        <v>13.11199999996461</v>
      </c>
    </row>
    <row r="126" spans="1:26" x14ac:dyDescent="0.35">
      <c r="A126">
        <v>117</v>
      </c>
      <c r="B126">
        <v>1</v>
      </c>
      <c r="C126">
        <v>0</v>
      </c>
      <c r="D126">
        <v>2025</v>
      </c>
      <c r="E126">
        <v>8</v>
      </c>
      <c r="F126">
        <v>21</v>
      </c>
      <c r="G126">
        <v>0</v>
      </c>
      <c r="H126">
        <v>46</v>
      </c>
      <c r="I126">
        <v>37.86</v>
      </c>
      <c r="J126" s="3">
        <f t="shared" si="20"/>
        <v>1817197.86</v>
      </c>
      <c r="K126" s="1">
        <f t="shared" si="24"/>
        <v>12.231000000145286</v>
      </c>
      <c r="L126" s="1" t="str">
        <f t="shared" si="33"/>
        <v/>
      </c>
      <c r="M126" s="1">
        <f t="shared" si="33"/>
        <v>1</v>
      </c>
      <c r="N126" s="1">
        <f t="shared" si="33"/>
        <v>1</v>
      </c>
      <c r="O126" s="1">
        <f t="shared" si="33"/>
        <v>1</v>
      </c>
      <c r="P126" s="1">
        <f t="shared" si="33"/>
        <v>1</v>
      </c>
      <c r="Q126" s="1">
        <f t="shared" si="33"/>
        <v>1</v>
      </c>
      <c r="R126" s="1">
        <f t="shared" si="33"/>
        <v>1</v>
      </c>
      <c r="S126" s="1">
        <f t="shared" si="33"/>
        <v>1</v>
      </c>
      <c r="T126" s="1">
        <f t="shared" si="33"/>
        <v>1</v>
      </c>
      <c r="U126" s="1">
        <f t="shared" si="25"/>
        <v>1</v>
      </c>
      <c r="X126" s="1" t="str">
        <f t="shared" si="29"/>
        <v/>
      </c>
      <c r="Y126" s="1">
        <f t="shared" si="30"/>
        <v>12.231000000145286</v>
      </c>
      <c r="Z126" s="1">
        <f t="shared" si="31"/>
        <v>12.231000000145286</v>
      </c>
    </row>
    <row r="127" spans="1:26" x14ac:dyDescent="0.35">
      <c r="A127">
        <v>118</v>
      </c>
      <c r="B127">
        <v>1</v>
      </c>
      <c r="C127">
        <v>3</v>
      </c>
      <c r="D127">
        <v>2025</v>
      </c>
      <c r="E127">
        <v>8</v>
      </c>
      <c r="F127">
        <v>21</v>
      </c>
      <c r="G127">
        <v>0</v>
      </c>
      <c r="H127">
        <v>46</v>
      </c>
      <c r="I127">
        <v>52.414999999999999</v>
      </c>
      <c r="J127" s="3">
        <f t="shared" si="20"/>
        <v>1817212.415</v>
      </c>
      <c r="K127" s="1">
        <f t="shared" si="24"/>
        <v>14.554999999934807</v>
      </c>
      <c r="L127" s="1" t="str">
        <f t="shared" si="33"/>
        <v/>
      </c>
      <c r="M127" s="1">
        <f t="shared" si="33"/>
        <v>1</v>
      </c>
      <c r="N127" s="1">
        <f t="shared" si="33"/>
        <v>1</v>
      </c>
      <c r="O127" s="1">
        <f t="shared" si="33"/>
        <v>1</v>
      </c>
      <c r="P127" s="1">
        <f t="shared" si="33"/>
        <v>1</v>
      </c>
      <c r="Q127" s="1">
        <f t="shared" si="33"/>
        <v>1</v>
      </c>
      <c r="R127" s="1">
        <f t="shared" si="33"/>
        <v>1</v>
      </c>
      <c r="S127" s="1">
        <f t="shared" si="33"/>
        <v>1</v>
      </c>
      <c r="T127" s="1">
        <f t="shared" si="33"/>
        <v>1</v>
      </c>
      <c r="U127" s="1">
        <f t="shared" si="25"/>
        <v>1</v>
      </c>
      <c r="X127" s="1" t="str">
        <f t="shared" si="29"/>
        <v/>
      </c>
      <c r="Y127" s="1">
        <f t="shared" si="30"/>
        <v>14.554999999934807</v>
      </c>
      <c r="Z127" s="1">
        <f t="shared" si="31"/>
        <v>14.554999999934807</v>
      </c>
    </row>
    <row r="128" spans="1:26" x14ac:dyDescent="0.35">
      <c r="A128">
        <v>119</v>
      </c>
      <c r="B128">
        <v>1</v>
      </c>
      <c r="C128">
        <v>3</v>
      </c>
      <c r="D128">
        <v>2025</v>
      </c>
      <c r="E128">
        <v>8</v>
      </c>
      <c r="F128">
        <v>21</v>
      </c>
      <c r="G128">
        <v>0</v>
      </c>
      <c r="H128">
        <v>47</v>
      </c>
      <c r="I128">
        <v>3.1379999999999999</v>
      </c>
      <c r="J128" s="3">
        <f t="shared" si="20"/>
        <v>1817223.138</v>
      </c>
      <c r="K128" s="1">
        <f t="shared" si="24"/>
        <v>10.722999999998137</v>
      </c>
      <c r="L128" s="1" t="str">
        <f t="shared" si="33"/>
        <v/>
      </c>
      <c r="M128" s="1">
        <f t="shared" si="33"/>
        <v>1</v>
      </c>
      <c r="N128" s="1">
        <f t="shared" si="33"/>
        <v>1</v>
      </c>
      <c r="O128" s="1">
        <f t="shared" si="33"/>
        <v>1</v>
      </c>
      <c r="P128" s="1">
        <f t="shared" si="33"/>
        <v>1</v>
      </c>
      <c r="Q128" s="1">
        <f t="shared" si="33"/>
        <v>1</v>
      </c>
      <c r="R128" s="1">
        <f t="shared" si="33"/>
        <v>1</v>
      </c>
      <c r="S128" s="1">
        <f t="shared" si="33"/>
        <v>1</v>
      </c>
      <c r="T128" s="1">
        <f t="shared" si="33"/>
        <v>1</v>
      </c>
      <c r="U128" s="1">
        <f t="shared" si="25"/>
        <v>1</v>
      </c>
      <c r="X128" s="1" t="str">
        <f t="shared" si="29"/>
        <v/>
      </c>
      <c r="Y128" s="1">
        <f t="shared" si="30"/>
        <v>10.722999999998137</v>
      </c>
      <c r="Z128" s="1">
        <f t="shared" si="31"/>
        <v>10.722999999998137</v>
      </c>
    </row>
    <row r="129" spans="1:26" x14ac:dyDescent="0.35">
      <c r="A129">
        <v>120</v>
      </c>
      <c r="B129">
        <v>1</v>
      </c>
      <c r="C129">
        <v>3</v>
      </c>
      <c r="D129">
        <v>2025</v>
      </c>
      <c r="E129">
        <v>8</v>
      </c>
      <c r="F129">
        <v>21</v>
      </c>
      <c r="G129">
        <v>0</v>
      </c>
      <c r="H129">
        <v>47</v>
      </c>
      <c r="I129">
        <v>13.59</v>
      </c>
      <c r="J129" s="3">
        <f t="shared" si="20"/>
        <v>1817233.59</v>
      </c>
      <c r="K129" s="1">
        <f t="shared" si="24"/>
        <v>10.452000000048429</v>
      </c>
      <c r="L129" s="1" t="str">
        <f t="shared" si="33"/>
        <v/>
      </c>
      <c r="M129" s="1">
        <f t="shared" si="33"/>
        <v>1</v>
      </c>
      <c r="N129" s="1">
        <f t="shared" si="33"/>
        <v>1</v>
      </c>
      <c r="O129" s="1">
        <f t="shared" si="33"/>
        <v>1</v>
      </c>
      <c r="P129" s="1">
        <f t="shared" si="33"/>
        <v>1</v>
      </c>
      <c r="Q129" s="1">
        <f t="shared" si="33"/>
        <v>1</v>
      </c>
      <c r="R129" s="1">
        <f t="shared" si="33"/>
        <v>1</v>
      </c>
      <c r="S129" s="1">
        <f t="shared" si="33"/>
        <v>1</v>
      </c>
      <c r="T129" s="1">
        <f t="shared" si="33"/>
        <v>1</v>
      </c>
      <c r="U129" s="1">
        <f t="shared" si="25"/>
        <v>1</v>
      </c>
      <c r="X129" s="1" t="str">
        <f t="shared" si="29"/>
        <v/>
      </c>
      <c r="Y129" s="1">
        <f t="shared" si="30"/>
        <v>10.452000000048429</v>
      </c>
      <c r="Z129" s="1">
        <f t="shared" si="31"/>
        <v>10.452000000048429</v>
      </c>
    </row>
    <row r="130" spans="1:26" x14ac:dyDescent="0.35">
      <c r="A130">
        <v>121</v>
      </c>
      <c r="B130">
        <v>1</v>
      </c>
      <c r="C130">
        <v>3</v>
      </c>
      <c r="D130">
        <v>2025</v>
      </c>
      <c r="E130">
        <v>8</v>
      </c>
      <c r="F130">
        <v>21</v>
      </c>
      <c r="G130">
        <v>0</v>
      </c>
      <c r="H130">
        <v>47</v>
      </c>
      <c r="I130">
        <v>26.4</v>
      </c>
      <c r="J130" s="3">
        <f t="shared" si="20"/>
        <v>1817246.4</v>
      </c>
      <c r="K130" s="1">
        <f t="shared" si="24"/>
        <v>12.809999999823049</v>
      </c>
      <c r="L130" s="1" t="str">
        <f t="shared" si="33"/>
        <v/>
      </c>
      <c r="M130" s="1">
        <f t="shared" si="33"/>
        <v>1</v>
      </c>
      <c r="N130" s="1">
        <f t="shared" si="33"/>
        <v>1</v>
      </c>
      <c r="O130" s="1">
        <f t="shared" si="33"/>
        <v>1</v>
      </c>
      <c r="P130" s="1">
        <f t="shared" si="33"/>
        <v>1</v>
      </c>
      <c r="Q130" s="1">
        <f t="shared" si="33"/>
        <v>1</v>
      </c>
      <c r="R130" s="1">
        <f t="shared" si="33"/>
        <v>1</v>
      </c>
      <c r="S130" s="1">
        <f t="shared" si="33"/>
        <v>1</v>
      </c>
      <c r="T130" s="1">
        <f t="shared" si="33"/>
        <v>1</v>
      </c>
      <c r="U130" s="1">
        <f t="shared" si="25"/>
        <v>1</v>
      </c>
      <c r="X130" s="1" t="str">
        <f t="shared" si="29"/>
        <v/>
      </c>
      <c r="Y130" s="1">
        <f t="shared" si="30"/>
        <v>12.809999999823049</v>
      </c>
      <c r="Z130" s="1">
        <f t="shared" si="31"/>
        <v>12.809999999823049</v>
      </c>
    </row>
    <row r="131" spans="1:26" x14ac:dyDescent="0.35">
      <c r="A131">
        <v>122</v>
      </c>
      <c r="B131">
        <v>0</v>
      </c>
      <c r="C131">
        <v>0</v>
      </c>
      <c r="D131">
        <v>2025</v>
      </c>
      <c r="E131">
        <v>8</v>
      </c>
      <c r="F131">
        <v>21</v>
      </c>
      <c r="G131">
        <v>0</v>
      </c>
      <c r="H131">
        <v>47</v>
      </c>
      <c r="I131">
        <v>36.22</v>
      </c>
      <c r="J131" s="3">
        <f t="shared" si="20"/>
        <v>1817256.22</v>
      </c>
      <c r="K131" s="1">
        <f t="shared" si="24"/>
        <v>9.8200000000651926</v>
      </c>
      <c r="L131" s="1">
        <f t="shared" ref="L131:T140" si="34">IF($K131&lt;L$4,$B131,"")</f>
        <v>0</v>
      </c>
      <c r="M131" s="1">
        <f t="shared" si="34"/>
        <v>0</v>
      </c>
      <c r="N131" s="1">
        <f t="shared" si="34"/>
        <v>0</v>
      </c>
      <c r="O131" s="1">
        <f t="shared" si="34"/>
        <v>0</v>
      </c>
      <c r="P131" s="1">
        <f t="shared" si="34"/>
        <v>0</v>
      </c>
      <c r="Q131" s="1">
        <f t="shared" si="34"/>
        <v>0</v>
      </c>
      <c r="R131" s="1">
        <f t="shared" si="34"/>
        <v>0</v>
      </c>
      <c r="S131" s="1">
        <f t="shared" si="34"/>
        <v>0</v>
      </c>
      <c r="T131" s="1">
        <f t="shared" si="34"/>
        <v>0</v>
      </c>
      <c r="U131" s="1">
        <f t="shared" si="25"/>
        <v>0</v>
      </c>
      <c r="X131" s="1">
        <f t="shared" si="29"/>
        <v>9.8200000000651926</v>
      </c>
      <c r="Y131" s="1">
        <f t="shared" si="30"/>
        <v>9.8200000000651926</v>
      </c>
      <c r="Z131" s="1">
        <f t="shared" si="31"/>
        <v>9.8200000000651926</v>
      </c>
    </row>
    <row r="132" spans="1:26" x14ac:dyDescent="0.35">
      <c r="A132">
        <v>123</v>
      </c>
      <c r="B132">
        <v>1</v>
      </c>
      <c r="C132">
        <v>3</v>
      </c>
      <c r="D132">
        <v>2025</v>
      </c>
      <c r="E132">
        <v>8</v>
      </c>
      <c r="F132">
        <v>21</v>
      </c>
      <c r="G132">
        <v>0</v>
      </c>
      <c r="H132">
        <v>47</v>
      </c>
      <c r="I132">
        <v>47.52</v>
      </c>
      <c r="J132" s="3">
        <f t="shared" si="20"/>
        <v>1817267.52</v>
      </c>
      <c r="K132" s="1">
        <f t="shared" si="24"/>
        <v>11.300000000046566</v>
      </c>
      <c r="L132" s="1" t="str">
        <f t="shared" si="34"/>
        <v/>
      </c>
      <c r="M132" s="1">
        <f t="shared" si="34"/>
        <v>1</v>
      </c>
      <c r="N132" s="1">
        <f t="shared" si="34"/>
        <v>1</v>
      </c>
      <c r="O132" s="1">
        <f t="shared" si="34"/>
        <v>1</v>
      </c>
      <c r="P132" s="1">
        <f t="shared" si="34"/>
        <v>1</v>
      </c>
      <c r="Q132" s="1">
        <f t="shared" si="34"/>
        <v>1</v>
      </c>
      <c r="R132" s="1">
        <f t="shared" si="34"/>
        <v>1</v>
      </c>
      <c r="S132" s="1">
        <f t="shared" si="34"/>
        <v>1</v>
      </c>
      <c r="T132" s="1">
        <f t="shared" si="34"/>
        <v>1</v>
      </c>
      <c r="U132" s="1">
        <f t="shared" si="25"/>
        <v>1</v>
      </c>
      <c r="X132" s="1" t="str">
        <f t="shared" si="29"/>
        <v/>
      </c>
      <c r="Y132" s="1">
        <f t="shared" si="30"/>
        <v>11.300000000046566</v>
      </c>
      <c r="Z132" s="1">
        <f t="shared" si="31"/>
        <v>11.300000000046566</v>
      </c>
    </row>
    <row r="133" spans="1:26" x14ac:dyDescent="0.35">
      <c r="A133">
        <v>124</v>
      </c>
      <c r="B133">
        <v>0</v>
      </c>
      <c r="C133">
        <v>0</v>
      </c>
      <c r="D133">
        <v>2025</v>
      </c>
      <c r="E133">
        <v>8</v>
      </c>
      <c r="F133">
        <v>21</v>
      </c>
      <c r="G133">
        <v>0</v>
      </c>
      <c r="H133">
        <v>48</v>
      </c>
      <c r="I133">
        <v>1.5629999999999999</v>
      </c>
      <c r="J133" s="3">
        <f t="shared" si="20"/>
        <v>1817281.5630000001</v>
      </c>
      <c r="K133" s="1">
        <f t="shared" si="24"/>
        <v>14.04300000006333</v>
      </c>
      <c r="L133" s="1" t="str">
        <f t="shared" si="34"/>
        <v/>
      </c>
      <c r="M133" s="1">
        <f t="shared" si="34"/>
        <v>0</v>
      </c>
      <c r="N133" s="1">
        <f t="shared" si="34"/>
        <v>0</v>
      </c>
      <c r="O133" s="1">
        <f t="shared" si="34"/>
        <v>0</v>
      </c>
      <c r="P133" s="1">
        <f t="shared" si="34"/>
        <v>0</v>
      </c>
      <c r="Q133" s="1">
        <f t="shared" si="34"/>
        <v>0</v>
      </c>
      <c r="R133" s="1">
        <f t="shared" si="34"/>
        <v>0</v>
      </c>
      <c r="S133" s="1">
        <f t="shared" si="34"/>
        <v>0</v>
      </c>
      <c r="T133" s="1">
        <f t="shared" si="34"/>
        <v>0</v>
      </c>
      <c r="U133" s="1">
        <f t="shared" si="25"/>
        <v>0</v>
      </c>
      <c r="X133" s="1" t="str">
        <f t="shared" si="29"/>
        <v/>
      </c>
      <c r="Y133" s="1">
        <f t="shared" si="30"/>
        <v>14.04300000006333</v>
      </c>
      <c r="Z133" s="1">
        <f t="shared" si="31"/>
        <v>14.04300000006333</v>
      </c>
    </row>
    <row r="134" spans="1:26" x14ac:dyDescent="0.35">
      <c r="A134">
        <v>125</v>
      </c>
      <c r="B134">
        <v>0</v>
      </c>
      <c r="C134">
        <v>0</v>
      </c>
      <c r="D134">
        <v>2025</v>
      </c>
      <c r="E134">
        <v>8</v>
      </c>
      <c r="F134">
        <v>21</v>
      </c>
      <c r="G134">
        <v>0</v>
      </c>
      <c r="H134">
        <v>48</v>
      </c>
      <c r="I134">
        <v>16.324000000000002</v>
      </c>
      <c r="J134" s="3">
        <f t="shared" si="20"/>
        <v>1817296.324</v>
      </c>
      <c r="K134" s="1">
        <f t="shared" si="24"/>
        <v>14.760999999940395</v>
      </c>
      <c r="L134" s="1" t="str">
        <f t="shared" si="34"/>
        <v/>
      </c>
      <c r="M134" s="1">
        <f t="shared" si="34"/>
        <v>0</v>
      </c>
      <c r="N134" s="1">
        <f t="shared" si="34"/>
        <v>0</v>
      </c>
      <c r="O134" s="1">
        <f t="shared" si="34"/>
        <v>0</v>
      </c>
      <c r="P134" s="1">
        <f t="shared" si="34"/>
        <v>0</v>
      </c>
      <c r="Q134" s="1">
        <f t="shared" si="34"/>
        <v>0</v>
      </c>
      <c r="R134" s="1">
        <f t="shared" si="34"/>
        <v>0</v>
      </c>
      <c r="S134" s="1">
        <f t="shared" si="34"/>
        <v>0</v>
      </c>
      <c r="T134" s="1">
        <f t="shared" si="34"/>
        <v>0</v>
      </c>
      <c r="U134" s="1">
        <f t="shared" si="25"/>
        <v>0</v>
      </c>
      <c r="X134" s="1" t="str">
        <f t="shared" si="29"/>
        <v/>
      </c>
      <c r="Y134" s="1">
        <f t="shared" si="30"/>
        <v>14.760999999940395</v>
      </c>
      <c r="Z134" s="1">
        <f t="shared" si="31"/>
        <v>14.760999999940395</v>
      </c>
    </row>
    <row r="135" spans="1:26" x14ac:dyDescent="0.35">
      <c r="A135">
        <v>126</v>
      </c>
      <c r="B135">
        <v>0</v>
      </c>
      <c r="C135">
        <v>0</v>
      </c>
      <c r="D135">
        <v>2025</v>
      </c>
      <c r="E135">
        <v>8</v>
      </c>
      <c r="F135">
        <v>21</v>
      </c>
      <c r="G135">
        <v>0</v>
      </c>
      <c r="H135">
        <v>50</v>
      </c>
      <c r="I135">
        <v>1.7709999999999999</v>
      </c>
      <c r="J135" s="3">
        <f t="shared" si="20"/>
        <v>1817401.7709999999</v>
      </c>
      <c r="K135" s="1">
        <f t="shared" si="24"/>
        <v>105.44699999992736</v>
      </c>
      <c r="L135" s="1" t="str">
        <f t="shared" si="34"/>
        <v/>
      </c>
      <c r="M135" s="1" t="str">
        <f t="shared" si="34"/>
        <v/>
      </c>
      <c r="N135" s="1" t="str">
        <f t="shared" si="34"/>
        <v/>
      </c>
      <c r="O135" s="1" t="str">
        <f t="shared" si="34"/>
        <v/>
      </c>
      <c r="P135" s="1" t="str">
        <f t="shared" si="34"/>
        <v/>
      </c>
      <c r="Q135" s="1" t="str">
        <f t="shared" si="34"/>
        <v/>
      </c>
      <c r="R135" s="1" t="str">
        <f t="shared" si="34"/>
        <v/>
      </c>
      <c r="S135" s="1" t="str">
        <f t="shared" si="34"/>
        <v/>
      </c>
      <c r="T135" s="1" t="str">
        <f t="shared" si="34"/>
        <v/>
      </c>
      <c r="U135" s="1">
        <f t="shared" si="25"/>
        <v>0</v>
      </c>
      <c r="X135" s="1" t="str">
        <f t="shared" si="29"/>
        <v/>
      </c>
      <c r="Y135" s="1" t="str">
        <f t="shared" si="30"/>
        <v/>
      </c>
      <c r="Z135" s="1" t="str">
        <f t="shared" si="31"/>
        <v/>
      </c>
    </row>
    <row r="136" spans="1:26" x14ac:dyDescent="0.35">
      <c r="A136">
        <v>127</v>
      </c>
      <c r="B136">
        <v>0</v>
      </c>
      <c r="C136">
        <v>0</v>
      </c>
      <c r="D136">
        <v>2025</v>
      </c>
      <c r="E136">
        <v>8</v>
      </c>
      <c r="F136">
        <v>21</v>
      </c>
      <c r="G136">
        <v>0</v>
      </c>
      <c r="H136">
        <v>51</v>
      </c>
      <c r="I136">
        <v>12.913</v>
      </c>
      <c r="J136" s="3">
        <f t="shared" si="20"/>
        <v>1817472.9129999999</v>
      </c>
      <c r="K136" s="1">
        <f t="shared" si="24"/>
        <v>71.141999999992549</v>
      </c>
      <c r="L136" s="1" t="str">
        <f t="shared" si="34"/>
        <v/>
      </c>
      <c r="M136" s="1" t="str">
        <f t="shared" si="34"/>
        <v/>
      </c>
      <c r="N136" s="1" t="str">
        <f t="shared" si="34"/>
        <v/>
      </c>
      <c r="O136" s="1" t="str">
        <f t="shared" si="34"/>
        <v/>
      </c>
      <c r="P136" s="1" t="str">
        <f t="shared" si="34"/>
        <v/>
      </c>
      <c r="Q136" s="1" t="str">
        <f t="shared" si="34"/>
        <v/>
      </c>
      <c r="R136" s="1" t="str">
        <f t="shared" si="34"/>
        <v/>
      </c>
      <c r="S136" s="1" t="str">
        <f t="shared" si="34"/>
        <v/>
      </c>
      <c r="T136" s="1" t="str">
        <f t="shared" si="34"/>
        <v/>
      </c>
      <c r="U136" s="1">
        <f t="shared" si="25"/>
        <v>0</v>
      </c>
      <c r="X136" s="1" t="str">
        <f t="shared" si="29"/>
        <v/>
      </c>
      <c r="Y136" s="1" t="str">
        <f t="shared" si="30"/>
        <v/>
      </c>
      <c r="Z136" s="1" t="str">
        <f t="shared" si="31"/>
        <v/>
      </c>
    </row>
    <row r="137" spans="1:26" x14ac:dyDescent="0.35">
      <c r="A137">
        <v>128</v>
      </c>
      <c r="B137">
        <v>0</v>
      </c>
      <c r="C137">
        <v>0</v>
      </c>
      <c r="D137">
        <v>2025</v>
      </c>
      <c r="E137">
        <v>8</v>
      </c>
      <c r="F137">
        <v>21</v>
      </c>
      <c r="G137">
        <v>0</v>
      </c>
      <c r="H137">
        <v>52</v>
      </c>
      <c r="I137">
        <v>0.13300000000000001</v>
      </c>
      <c r="J137" s="3">
        <f t="shared" si="20"/>
        <v>1817520.1329999999</v>
      </c>
      <c r="K137" s="1">
        <f t="shared" si="24"/>
        <v>47.21999999997206</v>
      </c>
      <c r="L137" s="1" t="str">
        <f t="shared" si="34"/>
        <v/>
      </c>
      <c r="M137" s="1" t="str">
        <f t="shared" si="34"/>
        <v/>
      </c>
      <c r="N137" s="1" t="str">
        <f t="shared" si="34"/>
        <v/>
      </c>
      <c r="O137" s="1" t="str">
        <f t="shared" si="34"/>
        <v/>
      </c>
      <c r="P137" s="1" t="str">
        <f t="shared" si="34"/>
        <v/>
      </c>
      <c r="Q137" s="1" t="str">
        <f t="shared" si="34"/>
        <v/>
      </c>
      <c r="R137" s="1" t="str">
        <f t="shared" si="34"/>
        <v/>
      </c>
      <c r="S137" s="1" t="str">
        <f t="shared" si="34"/>
        <v/>
      </c>
      <c r="T137" s="1">
        <f t="shared" si="34"/>
        <v>0</v>
      </c>
      <c r="U137" s="1">
        <f t="shared" si="25"/>
        <v>0</v>
      </c>
      <c r="X137" s="1" t="str">
        <f t="shared" si="29"/>
        <v/>
      </c>
      <c r="Y137" s="1" t="str">
        <f t="shared" si="30"/>
        <v/>
      </c>
      <c r="Z137" s="1" t="str">
        <f t="shared" si="31"/>
        <v/>
      </c>
    </row>
    <row r="138" spans="1:26" x14ac:dyDescent="0.35">
      <c r="A138">
        <v>129</v>
      </c>
      <c r="B138">
        <v>0</v>
      </c>
      <c r="C138">
        <v>0</v>
      </c>
      <c r="D138">
        <v>2025</v>
      </c>
      <c r="E138">
        <v>8</v>
      </c>
      <c r="F138">
        <v>21</v>
      </c>
      <c r="G138">
        <v>0</v>
      </c>
      <c r="H138">
        <v>52</v>
      </c>
      <c r="I138">
        <v>10.16</v>
      </c>
      <c r="J138" s="3">
        <f t="shared" si="20"/>
        <v>1817530.16</v>
      </c>
      <c r="K138" s="1">
        <f t="shared" si="24"/>
        <v>10.027000000001863</v>
      </c>
      <c r="L138" s="1" t="str">
        <f t="shared" si="34"/>
        <v/>
      </c>
      <c r="M138" s="1">
        <f t="shared" si="34"/>
        <v>0</v>
      </c>
      <c r="N138" s="1">
        <f t="shared" si="34"/>
        <v>0</v>
      </c>
      <c r="O138" s="1">
        <f t="shared" si="34"/>
        <v>0</v>
      </c>
      <c r="P138" s="1">
        <f t="shared" si="34"/>
        <v>0</v>
      </c>
      <c r="Q138" s="1">
        <f t="shared" si="34"/>
        <v>0</v>
      </c>
      <c r="R138" s="1">
        <f t="shared" si="34"/>
        <v>0</v>
      </c>
      <c r="S138" s="1">
        <f t="shared" si="34"/>
        <v>0</v>
      </c>
      <c r="T138" s="1">
        <f t="shared" si="34"/>
        <v>0</v>
      </c>
      <c r="U138" s="1">
        <f t="shared" si="25"/>
        <v>0</v>
      </c>
      <c r="X138" s="1" t="str">
        <f t="shared" si="29"/>
        <v/>
      </c>
      <c r="Y138" s="1">
        <f t="shared" si="30"/>
        <v>10.027000000001863</v>
      </c>
      <c r="Z138" s="1">
        <f t="shared" si="31"/>
        <v>10.027000000001863</v>
      </c>
    </row>
    <row r="139" spans="1:26" x14ac:dyDescent="0.35">
      <c r="A139">
        <v>130</v>
      </c>
      <c r="B139">
        <v>0</v>
      </c>
      <c r="C139">
        <v>0</v>
      </c>
      <c r="D139">
        <v>2025</v>
      </c>
      <c r="E139">
        <v>8</v>
      </c>
      <c r="F139">
        <v>21</v>
      </c>
      <c r="G139">
        <v>0</v>
      </c>
      <c r="H139">
        <v>52</v>
      </c>
      <c r="I139">
        <v>52.26</v>
      </c>
      <c r="J139" s="3">
        <f t="shared" ref="J139:J148" si="35">F139*86400+I139+H139*60+G139*60*60</f>
        <v>1817572.26</v>
      </c>
      <c r="K139" s="1">
        <f t="shared" si="24"/>
        <v>42.100000000093132</v>
      </c>
      <c r="L139" s="1" t="str">
        <f t="shared" si="34"/>
        <v/>
      </c>
      <c r="M139" s="1" t="str">
        <f t="shared" si="34"/>
        <v/>
      </c>
      <c r="N139" s="1" t="str">
        <f t="shared" si="34"/>
        <v/>
      </c>
      <c r="O139" s="1" t="str">
        <f t="shared" si="34"/>
        <v/>
      </c>
      <c r="P139" s="1" t="str">
        <f t="shared" si="34"/>
        <v/>
      </c>
      <c r="Q139" s="1" t="str">
        <f t="shared" si="34"/>
        <v/>
      </c>
      <c r="R139" s="1" t="str">
        <f t="shared" si="34"/>
        <v/>
      </c>
      <c r="S139" s="1">
        <f t="shared" si="34"/>
        <v>0</v>
      </c>
      <c r="T139" s="1">
        <f t="shared" si="34"/>
        <v>0</v>
      </c>
      <c r="U139" s="1">
        <f t="shared" si="25"/>
        <v>0</v>
      </c>
      <c r="X139" s="1" t="str">
        <f t="shared" ref="X139:X148" si="36">IF($K139&lt;L$4,$K139,"")</f>
        <v/>
      </c>
      <c r="Y139" s="1" t="str">
        <f t="shared" ref="Y139:Y148" si="37">IF($K139&lt;M$4,$K139,"")</f>
        <v/>
      </c>
      <c r="Z139" s="1" t="str">
        <f t="shared" ref="Z139:Z148" si="38">IF($K139&lt;N$4,$K139,"")</f>
        <v/>
      </c>
    </row>
    <row r="140" spans="1:26" x14ac:dyDescent="0.35">
      <c r="A140">
        <v>131</v>
      </c>
      <c r="B140">
        <v>0</v>
      </c>
      <c r="C140">
        <v>0</v>
      </c>
      <c r="D140">
        <v>2025</v>
      </c>
      <c r="E140">
        <v>8</v>
      </c>
      <c r="F140">
        <v>21</v>
      </c>
      <c r="G140">
        <v>0</v>
      </c>
      <c r="H140">
        <v>53</v>
      </c>
      <c r="I140">
        <v>2.5190000000000001</v>
      </c>
      <c r="J140" s="3">
        <f t="shared" si="35"/>
        <v>1817582.5190000001</v>
      </c>
      <c r="K140" s="1">
        <f t="shared" ref="K140:K148" si="39">J140-J139</f>
        <v>10.259000000078231</v>
      </c>
      <c r="L140" s="1" t="str">
        <f t="shared" si="34"/>
        <v/>
      </c>
      <c r="M140" s="1">
        <f t="shared" si="34"/>
        <v>0</v>
      </c>
      <c r="N140" s="1">
        <f t="shared" si="34"/>
        <v>0</v>
      </c>
      <c r="O140" s="1">
        <f t="shared" si="34"/>
        <v>0</v>
      </c>
      <c r="P140" s="1">
        <f t="shared" si="34"/>
        <v>0</v>
      </c>
      <c r="Q140" s="1">
        <f t="shared" si="34"/>
        <v>0</v>
      </c>
      <c r="R140" s="1">
        <f t="shared" si="34"/>
        <v>0</v>
      </c>
      <c r="S140" s="1">
        <f t="shared" si="34"/>
        <v>0</v>
      </c>
      <c r="T140" s="1">
        <f t="shared" si="34"/>
        <v>0</v>
      </c>
      <c r="U140" s="1">
        <f t="shared" ref="U140:U148" si="40">B140</f>
        <v>0</v>
      </c>
      <c r="X140" s="1" t="str">
        <f t="shared" si="36"/>
        <v/>
      </c>
      <c r="Y140" s="1">
        <f t="shared" si="37"/>
        <v>10.259000000078231</v>
      </c>
      <c r="Z140" s="1">
        <f t="shared" si="38"/>
        <v>10.259000000078231</v>
      </c>
    </row>
    <row r="141" spans="1:26" x14ac:dyDescent="0.35">
      <c r="A141">
        <v>132</v>
      </c>
      <c r="B141">
        <v>0</v>
      </c>
      <c r="C141">
        <v>0</v>
      </c>
      <c r="D141">
        <v>2025</v>
      </c>
      <c r="E141">
        <v>8</v>
      </c>
      <c r="F141">
        <v>21</v>
      </c>
      <c r="G141">
        <v>0</v>
      </c>
      <c r="H141">
        <v>53</v>
      </c>
      <c r="I141">
        <v>13.548</v>
      </c>
      <c r="J141" s="3">
        <f t="shared" si="35"/>
        <v>1817593.548</v>
      </c>
      <c r="K141" s="1">
        <f t="shared" si="39"/>
        <v>11.028999999864027</v>
      </c>
      <c r="L141" s="1" t="str">
        <f t="shared" ref="L141:T148" si="41">IF($K141&lt;L$4,$B141,"")</f>
        <v/>
      </c>
      <c r="M141" s="1">
        <f t="shared" si="41"/>
        <v>0</v>
      </c>
      <c r="N141" s="1">
        <f t="shared" si="41"/>
        <v>0</v>
      </c>
      <c r="O141" s="1">
        <f t="shared" si="41"/>
        <v>0</v>
      </c>
      <c r="P141" s="1">
        <f t="shared" si="41"/>
        <v>0</v>
      </c>
      <c r="Q141" s="1">
        <f t="shared" si="41"/>
        <v>0</v>
      </c>
      <c r="R141" s="1">
        <f t="shared" si="41"/>
        <v>0</v>
      </c>
      <c r="S141" s="1">
        <f t="shared" si="41"/>
        <v>0</v>
      </c>
      <c r="T141" s="1">
        <f t="shared" si="41"/>
        <v>0</v>
      </c>
      <c r="U141" s="1">
        <f t="shared" si="40"/>
        <v>0</v>
      </c>
      <c r="X141" s="1" t="str">
        <f t="shared" si="36"/>
        <v/>
      </c>
      <c r="Y141" s="1">
        <f t="shared" si="37"/>
        <v>11.028999999864027</v>
      </c>
      <c r="Z141" s="1">
        <f t="shared" si="38"/>
        <v>11.028999999864027</v>
      </c>
    </row>
    <row r="142" spans="1:26" x14ac:dyDescent="0.35">
      <c r="A142">
        <v>133</v>
      </c>
      <c r="B142">
        <v>1</v>
      </c>
      <c r="C142">
        <v>3</v>
      </c>
      <c r="D142">
        <v>2025</v>
      </c>
      <c r="E142">
        <v>8</v>
      </c>
      <c r="F142">
        <v>21</v>
      </c>
      <c r="G142">
        <v>0</v>
      </c>
      <c r="H142">
        <v>53</v>
      </c>
      <c r="I142">
        <v>27.23</v>
      </c>
      <c r="J142" s="3">
        <f t="shared" si="35"/>
        <v>1817607.23</v>
      </c>
      <c r="K142" s="1">
        <f t="shared" si="39"/>
        <v>13.682000000029802</v>
      </c>
      <c r="L142" s="1" t="str">
        <f t="shared" si="41"/>
        <v/>
      </c>
      <c r="M142" s="1">
        <f t="shared" si="41"/>
        <v>1</v>
      </c>
      <c r="N142" s="1">
        <f t="shared" si="41"/>
        <v>1</v>
      </c>
      <c r="O142" s="1">
        <f t="shared" si="41"/>
        <v>1</v>
      </c>
      <c r="P142" s="1">
        <f t="shared" si="41"/>
        <v>1</v>
      </c>
      <c r="Q142" s="1">
        <f t="shared" si="41"/>
        <v>1</v>
      </c>
      <c r="R142" s="1">
        <f t="shared" si="41"/>
        <v>1</v>
      </c>
      <c r="S142" s="1">
        <f t="shared" si="41"/>
        <v>1</v>
      </c>
      <c r="T142" s="1">
        <f t="shared" si="41"/>
        <v>1</v>
      </c>
      <c r="U142" s="1">
        <f t="shared" si="40"/>
        <v>1</v>
      </c>
      <c r="X142" s="1" t="str">
        <f t="shared" si="36"/>
        <v/>
      </c>
      <c r="Y142" s="1">
        <f t="shared" si="37"/>
        <v>13.682000000029802</v>
      </c>
      <c r="Z142" s="1">
        <f t="shared" si="38"/>
        <v>13.682000000029802</v>
      </c>
    </row>
    <row r="143" spans="1:26" x14ac:dyDescent="0.35">
      <c r="A143">
        <v>134</v>
      </c>
      <c r="B143">
        <v>1</v>
      </c>
      <c r="C143">
        <v>3</v>
      </c>
      <c r="D143">
        <v>2025</v>
      </c>
      <c r="E143">
        <v>8</v>
      </c>
      <c r="F143">
        <v>21</v>
      </c>
      <c r="G143">
        <v>0</v>
      </c>
      <c r="H143">
        <v>53</v>
      </c>
      <c r="I143">
        <v>55.381999999999998</v>
      </c>
      <c r="J143" s="3">
        <f t="shared" si="35"/>
        <v>1817635.382</v>
      </c>
      <c r="K143" s="1">
        <f t="shared" si="39"/>
        <v>28.152000000001863</v>
      </c>
      <c r="L143" s="1" t="str">
        <f t="shared" si="41"/>
        <v/>
      </c>
      <c r="M143" s="1" t="str">
        <f t="shared" si="41"/>
        <v/>
      </c>
      <c r="N143" s="1" t="str">
        <f t="shared" si="41"/>
        <v/>
      </c>
      <c r="O143" s="1" t="str">
        <f t="shared" si="41"/>
        <v/>
      </c>
      <c r="P143" s="1">
        <f t="shared" si="41"/>
        <v>1</v>
      </c>
      <c r="Q143" s="1">
        <f t="shared" si="41"/>
        <v>1</v>
      </c>
      <c r="R143" s="1">
        <f t="shared" si="41"/>
        <v>1</v>
      </c>
      <c r="S143" s="1">
        <f t="shared" si="41"/>
        <v>1</v>
      </c>
      <c r="T143" s="1">
        <f t="shared" si="41"/>
        <v>1</v>
      </c>
      <c r="U143" s="1">
        <f t="shared" si="40"/>
        <v>1</v>
      </c>
      <c r="X143" s="1" t="str">
        <f t="shared" si="36"/>
        <v/>
      </c>
      <c r="Y143" s="1" t="str">
        <f t="shared" si="37"/>
        <v/>
      </c>
      <c r="Z143" s="1" t="str">
        <f t="shared" si="38"/>
        <v/>
      </c>
    </row>
    <row r="144" spans="1:26" x14ac:dyDescent="0.35">
      <c r="A144">
        <v>135</v>
      </c>
      <c r="B144">
        <v>0</v>
      </c>
      <c r="C144">
        <v>0</v>
      </c>
      <c r="D144">
        <v>2025</v>
      </c>
      <c r="E144">
        <v>8</v>
      </c>
      <c r="F144">
        <v>21</v>
      </c>
      <c r="G144">
        <v>0</v>
      </c>
      <c r="H144">
        <v>54</v>
      </c>
      <c r="I144">
        <v>38.962000000000003</v>
      </c>
      <c r="J144" s="3">
        <f t="shared" si="35"/>
        <v>1817678.9620000001</v>
      </c>
      <c r="K144" s="1">
        <f t="shared" si="39"/>
        <v>43.580000000074506</v>
      </c>
      <c r="L144" s="1" t="str">
        <f t="shared" si="41"/>
        <v/>
      </c>
      <c r="M144" s="1" t="str">
        <f t="shared" si="41"/>
        <v/>
      </c>
      <c r="N144" s="1" t="str">
        <f t="shared" si="41"/>
        <v/>
      </c>
      <c r="O144" s="1" t="str">
        <f t="shared" si="41"/>
        <v/>
      </c>
      <c r="P144" s="1" t="str">
        <f t="shared" si="41"/>
        <v/>
      </c>
      <c r="Q144" s="1" t="str">
        <f t="shared" si="41"/>
        <v/>
      </c>
      <c r="R144" s="1" t="str">
        <f t="shared" si="41"/>
        <v/>
      </c>
      <c r="S144" s="1">
        <f t="shared" si="41"/>
        <v>0</v>
      </c>
      <c r="T144" s="1">
        <f t="shared" si="41"/>
        <v>0</v>
      </c>
      <c r="U144" s="1">
        <f t="shared" si="40"/>
        <v>0</v>
      </c>
      <c r="X144" s="1" t="str">
        <f t="shared" si="36"/>
        <v/>
      </c>
      <c r="Y144" s="1" t="str">
        <f t="shared" si="37"/>
        <v/>
      </c>
      <c r="Z144" s="1" t="str">
        <f t="shared" si="38"/>
        <v/>
      </c>
    </row>
    <row r="145" spans="1:26" x14ac:dyDescent="0.35">
      <c r="A145">
        <v>136</v>
      </c>
      <c r="B145">
        <v>0</v>
      </c>
      <c r="C145">
        <v>0</v>
      </c>
      <c r="D145">
        <v>2025</v>
      </c>
      <c r="E145">
        <v>8</v>
      </c>
      <c r="F145">
        <v>21</v>
      </c>
      <c r="G145">
        <v>0</v>
      </c>
      <c r="H145">
        <v>54</v>
      </c>
      <c r="I145">
        <v>56.692999999999998</v>
      </c>
      <c r="J145" s="3">
        <f t="shared" si="35"/>
        <v>1817696.693</v>
      </c>
      <c r="K145" s="1">
        <f t="shared" si="39"/>
        <v>17.730999999912456</v>
      </c>
      <c r="L145" s="1" t="str">
        <f t="shared" si="41"/>
        <v/>
      </c>
      <c r="M145" s="1" t="str">
        <f t="shared" si="41"/>
        <v/>
      </c>
      <c r="N145" s="1">
        <f t="shared" si="41"/>
        <v>0</v>
      </c>
      <c r="O145" s="1">
        <f t="shared" si="41"/>
        <v>0</v>
      </c>
      <c r="P145" s="1">
        <f t="shared" si="41"/>
        <v>0</v>
      </c>
      <c r="Q145" s="1">
        <f t="shared" si="41"/>
        <v>0</v>
      </c>
      <c r="R145" s="1">
        <f t="shared" si="41"/>
        <v>0</v>
      </c>
      <c r="S145" s="1">
        <f t="shared" si="41"/>
        <v>0</v>
      </c>
      <c r="T145" s="1">
        <f t="shared" si="41"/>
        <v>0</v>
      </c>
      <c r="U145" s="1">
        <f t="shared" si="40"/>
        <v>0</v>
      </c>
      <c r="X145" s="1" t="str">
        <f t="shared" si="36"/>
        <v/>
      </c>
      <c r="Y145" s="1" t="str">
        <f t="shared" si="37"/>
        <v/>
      </c>
      <c r="Z145" s="1">
        <f t="shared" si="38"/>
        <v>17.730999999912456</v>
      </c>
    </row>
    <row r="146" spans="1:26" x14ac:dyDescent="0.35">
      <c r="A146">
        <v>137</v>
      </c>
      <c r="B146">
        <v>0</v>
      </c>
      <c r="C146">
        <v>0</v>
      </c>
      <c r="D146">
        <v>2025</v>
      </c>
      <c r="E146">
        <v>8</v>
      </c>
      <c r="F146">
        <v>21</v>
      </c>
      <c r="G146">
        <v>0</v>
      </c>
      <c r="H146">
        <v>55</v>
      </c>
      <c r="I146">
        <v>7.1619999999999999</v>
      </c>
      <c r="J146" s="3">
        <f t="shared" si="35"/>
        <v>1817707.162</v>
      </c>
      <c r="K146" s="1">
        <f t="shared" si="39"/>
        <v>10.469000000040978</v>
      </c>
      <c r="L146" s="1" t="str">
        <f t="shared" si="41"/>
        <v/>
      </c>
      <c r="M146" s="1">
        <f t="shared" si="41"/>
        <v>0</v>
      </c>
      <c r="N146" s="1">
        <f t="shared" si="41"/>
        <v>0</v>
      </c>
      <c r="O146" s="1">
        <f t="shared" si="41"/>
        <v>0</v>
      </c>
      <c r="P146" s="1">
        <f t="shared" si="41"/>
        <v>0</v>
      </c>
      <c r="Q146" s="1">
        <f t="shared" si="41"/>
        <v>0</v>
      </c>
      <c r="R146" s="1">
        <f t="shared" si="41"/>
        <v>0</v>
      </c>
      <c r="S146" s="1">
        <f t="shared" si="41"/>
        <v>0</v>
      </c>
      <c r="T146" s="1">
        <f t="shared" si="41"/>
        <v>0</v>
      </c>
      <c r="U146" s="1">
        <f t="shared" si="40"/>
        <v>0</v>
      </c>
      <c r="X146" s="1" t="str">
        <f t="shared" si="36"/>
        <v/>
      </c>
      <c r="Y146" s="1">
        <f t="shared" si="37"/>
        <v>10.469000000040978</v>
      </c>
      <c r="Z146" s="1">
        <f t="shared" si="38"/>
        <v>10.469000000040978</v>
      </c>
    </row>
    <row r="147" spans="1:26" x14ac:dyDescent="0.35">
      <c r="A147">
        <v>138</v>
      </c>
      <c r="B147">
        <v>0</v>
      </c>
      <c r="C147">
        <v>0</v>
      </c>
      <c r="D147">
        <v>2025</v>
      </c>
      <c r="E147">
        <v>8</v>
      </c>
      <c r="F147">
        <v>21</v>
      </c>
      <c r="G147">
        <v>0</v>
      </c>
      <c r="H147">
        <v>55</v>
      </c>
      <c r="I147">
        <v>21.867999999999999</v>
      </c>
      <c r="J147" s="3">
        <f t="shared" si="35"/>
        <v>1817721.868</v>
      </c>
      <c r="K147" s="1">
        <f t="shared" si="39"/>
        <v>14.706000000005588</v>
      </c>
      <c r="L147" s="1" t="str">
        <f t="shared" si="41"/>
        <v/>
      </c>
      <c r="M147" s="1">
        <f t="shared" si="41"/>
        <v>0</v>
      </c>
      <c r="N147" s="1">
        <f t="shared" si="41"/>
        <v>0</v>
      </c>
      <c r="O147" s="1">
        <f t="shared" si="41"/>
        <v>0</v>
      </c>
      <c r="P147" s="1">
        <f t="shared" si="41"/>
        <v>0</v>
      </c>
      <c r="Q147" s="1">
        <f t="shared" si="41"/>
        <v>0</v>
      </c>
      <c r="R147" s="1">
        <f t="shared" si="41"/>
        <v>0</v>
      </c>
      <c r="S147" s="1">
        <f t="shared" si="41"/>
        <v>0</v>
      </c>
      <c r="T147" s="1">
        <f t="shared" si="41"/>
        <v>0</v>
      </c>
      <c r="U147" s="1">
        <f t="shared" si="40"/>
        <v>0</v>
      </c>
      <c r="X147" s="1" t="str">
        <f t="shared" si="36"/>
        <v/>
      </c>
      <c r="Y147" s="1">
        <f t="shared" si="37"/>
        <v>14.706000000005588</v>
      </c>
      <c r="Z147" s="1">
        <f t="shared" si="38"/>
        <v>14.706000000005588</v>
      </c>
    </row>
    <row r="148" spans="1:26" x14ac:dyDescent="0.35">
      <c r="A148">
        <v>139</v>
      </c>
      <c r="B148">
        <v>1</v>
      </c>
      <c r="C148">
        <v>3</v>
      </c>
      <c r="D148">
        <v>2025</v>
      </c>
      <c r="E148">
        <v>8</v>
      </c>
      <c r="F148">
        <v>21</v>
      </c>
      <c r="G148">
        <v>0</v>
      </c>
      <c r="H148">
        <v>56</v>
      </c>
      <c r="I148">
        <v>2.5270000000000001</v>
      </c>
      <c r="J148" s="3">
        <f t="shared" si="35"/>
        <v>1817762.527</v>
      </c>
      <c r="K148" s="1">
        <f t="shared" si="39"/>
        <v>40.658999999985099</v>
      </c>
      <c r="L148" s="1" t="str">
        <f t="shared" si="41"/>
        <v/>
      </c>
      <c r="M148" s="1" t="str">
        <f t="shared" si="41"/>
        <v/>
      </c>
      <c r="N148" s="1" t="str">
        <f t="shared" si="41"/>
        <v/>
      </c>
      <c r="O148" s="1" t="str">
        <f t="shared" si="41"/>
        <v/>
      </c>
      <c r="P148" s="1" t="str">
        <f t="shared" si="41"/>
        <v/>
      </c>
      <c r="Q148" s="1" t="str">
        <f t="shared" si="41"/>
        <v/>
      </c>
      <c r="R148" s="1" t="str">
        <f t="shared" si="41"/>
        <v/>
      </c>
      <c r="S148" s="1">
        <f t="shared" si="41"/>
        <v>1</v>
      </c>
      <c r="T148" s="1">
        <f t="shared" si="41"/>
        <v>1</v>
      </c>
      <c r="U148" s="1">
        <f t="shared" si="40"/>
        <v>1</v>
      </c>
      <c r="X148" s="1" t="str">
        <f t="shared" si="36"/>
        <v/>
      </c>
      <c r="Y148" s="1" t="str">
        <f t="shared" si="37"/>
        <v/>
      </c>
      <c r="Z148" s="1" t="str">
        <f t="shared" si="38"/>
        <v/>
      </c>
    </row>
    <row r="149" spans="1:26" x14ac:dyDescent="0.35">
      <c r="J149" s="3"/>
    </row>
    <row r="150" spans="1:26" x14ac:dyDescent="0.35">
      <c r="J150" s="3"/>
    </row>
    <row r="151" spans="1:26" x14ac:dyDescent="0.35">
      <c r="J151" s="3"/>
    </row>
    <row r="152" spans="1:26" x14ac:dyDescent="0.35">
      <c r="J152" s="3"/>
    </row>
    <row r="153" spans="1:26" x14ac:dyDescent="0.35">
      <c r="J153" s="3"/>
    </row>
    <row r="154" spans="1:26" x14ac:dyDescent="0.35">
      <c r="J154" s="3"/>
    </row>
    <row r="155" spans="1:26" x14ac:dyDescent="0.35">
      <c r="J155" s="3"/>
    </row>
    <row r="156" spans="1:26" x14ac:dyDescent="0.35">
      <c r="J156" s="3"/>
    </row>
    <row r="157" spans="1:26" x14ac:dyDescent="0.35">
      <c r="J157" s="3"/>
    </row>
    <row r="158" spans="1:26" x14ac:dyDescent="0.35">
      <c r="J158" s="3"/>
    </row>
    <row r="159" spans="1:26" x14ac:dyDescent="0.35">
      <c r="J159" s="3"/>
    </row>
    <row r="160" spans="1:26" x14ac:dyDescent="0.35">
      <c r="J160" s="3"/>
    </row>
    <row r="161" spans="10:10" x14ac:dyDescent="0.35">
      <c r="J161" s="3"/>
    </row>
    <row r="162" spans="10:10" x14ac:dyDescent="0.35">
      <c r="J162" s="3"/>
    </row>
    <row r="163" spans="10:10" x14ac:dyDescent="0.35">
      <c r="J163" s="3"/>
    </row>
    <row r="164" spans="10:10" x14ac:dyDescent="0.35">
      <c r="J164" s="3"/>
    </row>
    <row r="165" spans="10:10" x14ac:dyDescent="0.35">
      <c r="J165" s="3"/>
    </row>
    <row r="166" spans="10:10" x14ac:dyDescent="0.35">
      <c r="J166" s="3"/>
    </row>
    <row r="167" spans="10:10" x14ac:dyDescent="0.35">
      <c r="J167" s="3"/>
    </row>
    <row r="168" spans="10:10" x14ac:dyDescent="0.35">
      <c r="J168" s="3"/>
    </row>
    <row r="169" spans="10:10" x14ac:dyDescent="0.35">
      <c r="J169" s="3"/>
    </row>
    <row r="170" spans="10:10" x14ac:dyDescent="0.35">
      <c r="J170" s="3"/>
    </row>
    <row r="171" spans="10:10" x14ac:dyDescent="0.35">
      <c r="J171" s="3"/>
    </row>
    <row r="172" spans="10:10" x14ac:dyDescent="0.35">
      <c r="J172" s="3"/>
    </row>
    <row r="173" spans="10:10" x14ac:dyDescent="0.35">
      <c r="J173" s="3"/>
    </row>
    <row r="174" spans="10:10" x14ac:dyDescent="0.35">
      <c r="J174" s="3"/>
    </row>
    <row r="175" spans="10:10" x14ac:dyDescent="0.35">
      <c r="J175" s="3"/>
    </row>
    <row r="176" spans="10:10" x14ac:dyDescent="0.35">
      <c r="J176" s="3"/>
    </row>
    <row r="177" spans="10:10" x14ac:dyDescent="0.35">
      <c r="J177" s="3"/>
    </row>
    <row r="178" spans="10:10" x14ac:dyDescent="0.35">
      <c r="J178" s="3"/>
    </row>
    <row r="179" spans="10:10" x14ac:dyDescent="0.35">
      <c r="J179" s="3"/>
    </row>
    <row r="180" spans="10:10" x14ac:dyDescent="0.35">
      <c r="J180" s="3"/>
    </row>
    <row r="181" spans="10:10" x14ac:dyDescent="0.35">
      <c r="J181" s="3"/>
    </row>
    <row r="182" spans="10:10" x14ac:dyDescent="0.35">
      <c r="J182" s="3"/>
    </row>
    <row r="183" spans="10:10" x14ac:dyDescent="0.35">
      <c r="J183" s="3"/>
    </row>
    <row r="184" spans="10:10" x14ac:dyDescent="0.35">
      <c r="J184" s="3"/>
    </row>
    <row r="185" spans="10:10" x14ac:dyDescent="0.35">
      <c r="J185" s="3"/>
    </row>
    <row r="186" spans="10:10" x14ac:dyDescent="0.35">
      <c r="J186" s="3"/>
    </row>
    <row r="187" spans="10:10" x14ac:dyDescent="0.35">
      <c r="J187" s="3"/>
    </row>
    <row r="188" spans="10:10" x14ac:dyDescent="0.35">
      <c r="J188" s="3"/>
    </row>
    <row r="189" spans="10:10" x14ac:dyDescent="0.35">
      <c r="J189" s="3"/>
    </row>
    <row r="190" spans="10:10" x14ac:dyDescent="0.35">
      <c r="J190" s="3"/>
    </row>
    <row r="191" spans="10:10" x14ac:dyDescent="0.35">
      <c r="J191" s="3"/>
    </row>
    <row r="192" spans="10:10" x14ac:dyDescent="0.35">
      <c r="J192" s="3"/>
    </row>
    <row r="193" spans="10:10" x14ac:dyDescent="0.35">
      <c r="J193" s="3"/>
    </row>
    <row r="194" spans="10:10" x14ac:dyDescent="0.35">
      <c r="J194" s="3"/>
    </row>
    <row r="195" spans="10:10" x14ac:dyDescent="0.35">
      <c r="J195" s="3"/>
    </row>
    <row r="196" spans="10:10" x14ac:dyDescent="0.35">
      <c r="J196" s="3"/>
    </row>
    <row r="197" spans="10:10" x14ac:dyDescent="0.35">
      <c r="J197" s="3"/>
    </row>
    <row r="198" spans="10:10" x14ac:dyDescent="0.35">
      <c r="J198" s="3"/>
    </row>
    <row r="199" spans="10:10" x14ac:dyDescent="0.35">
      <c r="J199" s="3"/>
    </row>
    <row r="200" spans="10:10" x14ac:dyDescent="0.35">
      <c r="J200" s="3"/>
    </row>
    <row r="201" spans="10:10" x14ac:dyDescent="0.35">
      <c r="J201" s="3"/>
    </row>
    <row r="202" spans="10:10" x14ac:dyDescent="0.35">
      <c r="J202" s="3"/>
    </row>
    <row r="203" spans="10:10" x14ac:dyDescent="0.35">
      <c r="J203" s="3"/>
    </row>
    <row r="204" spans="10:10" x14ac:dyDescent="0.35">
      <c r="J204" s="3"/>
    </row>
    <row r="205" spans="10:10" x14ac:dyDescent="0.35">
      <c r="J205" s="3"/>
    </row>
    <row r="206" spans="10:10" x14ac:dyDescent="0.35">
      <c r="J206" s="3"/>
    </row>
    <row r="207" spans="10:10" x14ac:dyDescent="0.35">
      <c r="J207" s="3"/>
    </row>
    <row r="208" spans="10:10" x14ac:dyDescent="0.35">
      <c r="J208" s="3"/>
    </row>
    <row r="209" spans="10:10" x14ac:dyDescent="0.35">
      <c r="J209" s="3"/>
    </row>
    <row r="210" spans="10:10" x14ac:dyDescent="0.35">
      <c r="J210" s="3"/>
    </row>
    <row r="211" spans="10:10" x14ac:dyDescent="0.35">
      <c r="J211" s="3"/>
    </row>
    <row r="212" spans="10:10" x14ac:dyDescent="0.35">
      <c r="J212" s="3"/>
    </row>
    <row r="213" spans="10:10" x14ac:dyDescent="0.35">
      <c r="J213" s="3"/>
    </row>
    <row r="214" spans="10:10" x14ac:dyDescent="0.35">
      <c r="J214" s="3"/>
    </row>
    <row r="215" spans="10:10" x14ac:dyDescent="0.35">
      <c r="J215" s="3"/>
    </row>
    <row r="216" spans="10:10" x14ac:dyDescent="0.35">
      <c r="J216" s="3"/>
    </row>
    <row r="217" spans="10:10" x14ac:dyDescent="0.35">
      <c r="J217" s="3"/>
    </row>
    <row r="218" spans="10:10" x14ac:dyDescent="0.35">
      <c r="J218" s="3"/>
    </row>
    <row r="219" spans="10:10" x14ac:dyDescent="0.35">
      <c r="J219" s="3"/>
    </row>
    <row r="220" spans="10:10" x14ac:dyDescent="0.35">
      <c r="J220" s="3"/>
    </row>
    <row r="221" spans="10:10" x14ac:dyDescent="0.35">
      <c r="J221" s="3"/>
    </row>
    <row r="222" spans="10:10" x14ac:dyDescent="0.35">
      <c r="J222" s="3"/>
    </row>
    <row r="223" spans="10:10" x14ac:dyDescent="0.35">
      <c r="J223" s="3"/>
    </row>
    <row r="224" spans="10:10" x14ac:dyDescent="0.35">
      <c r="J224" s="3"/>
    </row>
    <row r="225" spans="10:10" x14ac:dyDescent="0.35">
      <c r="J225" s="3"/>
    </row>
    <row r="226" spans="10:10" x14ac:dyDescent="0.35">
      <c r="J226" s="3"/>
    </row>
    <row r="227" spans="10:10" x14ac:dyDescent="0.35">
      <c r="J227" s="3"/>
    </row>
    <row r="228" spans="10:10" x14ac:dyDescent="0.35">
      <c r="J228" s="3"/>
    </row>
    <row r="229" spans="10:10" x14ac:dyDescent="0.35">
      <c r="J229" s="3"/>
    </row>
    <row r="230" spans="10:10" x14ac:dyDescent="0.35">
      <c r="J230" s="3"/>
    </row>
    <row r="231" spans="10:10" x14ac:dyDescent="0.35">
      <c r="J231" s="3"/>
    </row>
    <row r="232" spans="10:10" x14ac:dyDescent="0.35">
      <c r="J232" s="3"/>
    </row>
    <row r="233" spans="10:10" x14ac:dyDescent="0.35">
      <c r="J233" s="3"/>
    </row>
    <row r="234" spans="10:10" x14ac:dyDescent="0.35">
      <c r="J234" s="3"/>
    </row>
    <row r="235" spans="10:10" x14ac:dyDescent="0.35">
      <c r="J235" s="3"/>
    </row>
    <row r="236" spans="10:10" x14ac:dyDescent="0.35">
      <c r="J236" s="3"/>
    </row>
    <row r="237" spans="10:10" x14ac:dyDescent="0.35">
      <c r="J237" s="3"/>
    </row>
    <row r="238" spans="10:10" x14ac:dyDescent="0.35">
      <c r="J238" s="3"/>
    </row>
    <row r="239" spans="10:10" x14ac:dyDescent="0.35">
      <c r="J239" s="3"/>
    </row>
    <row r="240" spans="10:10" x14ac:dyDescent="0.35">
      <c r="J2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2025_8_21 0h0m Task9 Touch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2025-09-25T03:41:29Z</dcterms:created>
  <dcterms:modified xsi:type="dcterms:W3CDTF">2026-02-23T22:11:35Z</dcterms:modified>
</cp:coreProperties>
</file>