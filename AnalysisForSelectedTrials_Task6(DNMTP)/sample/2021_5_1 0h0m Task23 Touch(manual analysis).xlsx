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x\1Python\PycharmProjects\OperantHouseAnalysis_Task9\sample\"/>
    </mc:Choice>
  </mc:AlternateContent>
  <xr:revisionPtr revIDLastSave="0" documentId="13_ncr:1_{0B2C44FC-D697-45D8-BDAD-1995CC7B4598}" xr6:coauthVersionLast="47" xr6:coauthVersionMax="47" xr10:uidLastSave="{00000000-0000-0000-0000-000000000000}"/>
  <bookViews>
    <workbookView xWindow="33870" yWindow="1080" windowWidth="22575" windowHeight="15630" activeTab="1" xr2:uid="{6240A0DC-6CC3-47B6-A7D4-A85B3CFF0EFD}"/>
  </bookViews>
  <sheets>
    <sheet name="all" sheetId="1" r:id="rId1"/>
    <sheet name="select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2" l="1"/>
  <c r="N132" i="2"/>
  <c r="M132" i="2"/>
  <c r="M131" i="2"/>
  <c r="N131" i="2" s="1"/>
  <c r="M130" i="2"/>
  <c r="M129" i="2"/>
  <c r="M128" i="2"/>
  <c r="N127" i="2"/>
  <c r="M127" i="2"/>
  <c r="M126" i="2"/>
  <c r="N126" i="2" s="1"/>
  <c r="M125" i="2"/>
  <c r="M124" i="2"/>
  <c r="M123" i="2"/>
  <c r="N122" i="2"/>
  <c r="M122" i="2"/>
  <c r="M121" i="2"/>
  <c r="N121" i="2" s="1"/>
  <c r="M120" i="2"/>
  <c r="M119" i="2"/>
  <c r="M118" i="2"/>
  <c r="N117" i="2"/>
  <c r="M117" i="2"/>
  <c r="M116" i="2"/>
  <c r="N116" i="2" s="1"/>
  <c r="M115" i="2"/>
  <c r="M114" i="2"/>
  <c r="M113" i="2"/>
  <c r="N112" i="2"/>
  <c r="M112" i="2"/>
  <c r="M111" i="2"/>
  <c r="N111" i="2" s="1"/>
  <c r="M110" i="2"/>
  <c r="M109" i="2"/>
  <c r="M108" i="2"/>
  <c r="N107" i="2"/>
  <c r="M107" i="2"/>
  <c r="M106" i="2"/>
  <c r="N106" i="2" s="1"/>
  <c r="M105" i="2"/>
  <c r="M104" i="2"/>
  <c r="M103" i="2"/>
  <c r="N102" i="2"/>
  <c r="M102" i="2"/>
  <c r="M101" i="2"/>
  <c r="N101" i="2" s="1"/>
  <c r="M100" i="2"/>
  <c r="M99" i="2"/>
  <c r="M98" i="2"/>
  <c r="N97" i="2"/>
  <c r="M97" i="2"/>
  <c r="M96" i="2"/>
  <c r="M95" i="2"/>
  <c r="M94" i="2"/>
  <c r="M93" i="2"/>
  <c r="N96" i="2" s="1"/>
  <c r="N92" i="2"/>
  <c r="M92" i="2"/>
  <c r="M91" i="2"/>
  <c r="N91" i="2" s="1"/>
  <c r="M90" i="2"/>
  <c r="M89" i="2"/>
  <c r="M88" i="2"/>
  <c r="N87" i="2"/>
  <c r="M87" i="2"/>
  <c r="M86" i="2"/>
  <c r="N86" i="2" s="1"/>
  <c r="M85" i="2"/>
  <c r="M84" i="2"/>
  <c r="M83" i="2"/>
  <c r="N82" i="2"/>
  <c r="M82" i="2"/>
  <c r="M81" i="2"/>
  <c r="N81" i="2" s="1"/>
  <c r="M80" i="2"/>
  <c r="M79" i="2"/>
  <c r="M78" i="2"/>
  <c r="N77" i="2"/>
  <c r="M77" i="2"/>
  <c r="N76" i="2"/>
  <c r="M76" i="2"/>
  <c r="M75" i="2"/>
  <c r="M74" i="2"/>
  <c r="M73" i="2"/>
  <c r="N72" i="2"/>
  <c r="M72" i="2"/>
  <c r="M71" i="2"/>
  <c r="N71" i="2" s="1"/>
  <c r="M70" i="2"/>
  <c r="M69" i="2"/>
  <c r="M68" i="2"/>
  <c r="N67" i="2"/>
  <c r="M67" i="2"/>
  <c r="M66" i="2"/>
  <c r="N66" i="2" s="1"/>
  <c r="M65" i="2"/>
  <c r="M64" i="2"/>
  <c r="M63" i="2"/>
  <c r="N62" i="2"/>
  <c r="M62" i="2"/>
  <c r="M61" i="2"/>
  <c r="N61" i="2" s="1"/>
  <c r="M60" i="2"/>
  <c r="M59" i="2"/>
  <c r="M58" i="2"/>
  <c r="N57" i="2"/>
  <c r="M57" i="2"/>
  <c r="M56" i="2"/>
  <c r="N56" i="2" s="1"/>
  <c r="M55" i="2"/>
  <c r="M54" i="2"/>
  <c r="M53" i="2"/>
  <c r="N52" i="2"/>
  <c r="M52" i="2"/>
  <c r="M51" i="2"/>
  <c r="N51" i="2" s="1"/>
  <c r="M50" i="2"/>
  <c r="M49" i="2"/>
  <c r="M48" i="2"/>
  <c r="N47" i="2"/>
  <c r="M47" i="2"/>
  <c r="M46" i="2"/>
  <c r="N46" i="2" s="1"/>
  <c r="M45" i="2"/>
  <c r="M44" i="2"/>
  <c r="M43" i="2"/>
  <c r="N42" i="2"/>
  <c r="M42" i="2"/>
  <c r="M41" i="2"/>
  <c r="N41" i="2" s="1"/>
  <c r="M40" i="2"/>
  <c r="M39" i="2"/>
  <c r="M38" i="2"/>
  <c r="N37" i="2"/>
  <c r="M37" i="2"/>
  <c r="M36" i="2"/>
  <c r="N36" i="2" s="1"/>
  <c r="M35" i="2"/>
  <c r="M34" i="2"/>
  <c r="M33" i="2"/>
  <c r="N32" i="2"/>
  <c r="M32" i="2"/>
  <c r="M31" i="2"/>
  <c r="N31" i="2" s="1"/>
  <c r="M30" i="2"/>
  <c r="M29" i="2"/>
  <c r="M28" i="2"/>
  <c r="N27" i="2"/>
  <c r="M27" i="2"/>
  <c r="M26" i="2"/>
  <c r="M25" i="2"/>
  <c r="M24" i="2"/>
  <c r="M23" i="2"/>
  <c r="N22" i="2"/>
  <c r="M22" i="2"/>
  <c r="M21" i="2"/>
  <c r="N21" i="2" s="1"/>
  <c r="M20" i="2"/>
  <c r="M19" i="2"/>
  <c r="M18" i="2"/>
  <c r="N17" i="2"/>
  <c r="M17" i="2"/>
  <c r="M16" i="2"/>
  <c r="M15" i="2"/>
  <c r="M14" i="2"/>
  <c r="M13" i="2"/>
  <c r="N16" i="2" s="1"/>
  <c r="M12" i="2"/>
  <c r="R7" i="2"/>
  <c r="Q7" i="2"/>
  <c r="P7" i="2"/>
  <c r="O7" i="2"/>
  <c r="H4" i="2"/>
  <c r="G4" i="2"/>
  <c r="N122" i="1"/>
  <c r="N127" i="1"/>
  <c r="N132" i="1"/>
  <c r="N117" i="1"/>
  <c r="N112" i="1"/>
  <c r="N107" i="1"/>
  <c r="N102" i="1"/>
  <c r="N97" i="1"/>
  <c r="N92" i="1"/>
  <c r="N87" i="1"/>
  <c r="N82" i="1"/>
  <c r="N77" i="1"/>
  <c r="N72" i="1"/>
  <c r="N67" i="1"/>
  <c r="N62" i="1"/>
  <c r="N57" i="1"/>
  <c r="N52" i="1"/>
  <c r="N47" i="1"/>
  <c r="N42" i="1"/>
  <c r="N37" i="1"/>
  <c r="N32" i="1"/>
  <c r="N27" i="1"/>
  <c r="N22" i="1"/>
  <c r="N17" i="1"/>
  <c r="R7" i="1"/>
  <c r="Q7" i="1"/>
  <c r="P7" i="1"/>
  <c r="O7" i="1"/>
  <c r="N131" i="1"/>
  <c r="N126" i="1"/>
  <c r="N121" i="1"/>
  <c r="N116" i="1"/>
  <c r="N111" i="1"/>
  <c r="N106" i="1"/>
  <c r="N101" i="1"/>
  <c r="N96" i="1"/>
  <c r="N91" i="1"/>
  <c r="N86" i="1"/>
  <c r="N81" i="1"/>
  <c r="N76" i="1"/>
  <c r="N71" i="1"/>
  <c r="N66" i="1"/>
  <c r="N61" i="1"/>
  <c r="N56" i="1"/>
  <c r="N51" i="1"/>
  <c r="H4" i="1"/>
  <c r="G4" i="1"/>
  <c r="M132" i="1"/>
  <c r="M1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N46" i="1" s="1"/>
  <c r="M45" i="1"/>
  <c r="M44" i="1"/>
  <c r="M43" i="1"/>
  <c r="M42" i="1"/>
  <c r="M41" i="1"/>
  <c r="N41" i="1" s="1"/>
  <c r="M40" i="1"/>
  <c r="M39" i="1"/>
  <c r="M38" i="1"/>
  <c r="M37" i="1"/>
  <c r="M36" i="1"/>
  <c r="N36" i="1" s="1"/>
  <c r="M35" i="1"/>
  <c r="M34" i="1"/>
  <c r="M33" i="1"/>
  <c r="M32" i="1"/>
  <c r="M31" i="1"/>
  <c r="N31" i="1" s="1"/>
  <c r="M30" i="1"/>
  <c r="M29" i="1"/>
  <c r="M28" i="1"/>
  <c r="M27" i="1"/>
  <c r="M26" i="1"/>
  <c r="N26" i="1" s="1"/>
  <c r="M25" i="1"/>
  <c r="M24" i="1"/>
  <c r="M23" i="1"/>
  <c r="M22" i="1"/>
  <c r="M21" i="1"/>
  <c r="N21" i="1" s="1"/>
  <c r="M20" i="1"/>
  <c r="M19" i="1"/>
  <c r="M18" i="1"/>
  <c r="M17" i="1"/>
  <c r="M16" i="1"/>
  <c r="N16" i="1" s="1"/>
  <c r="M15" i="1"/>
  <c r="M14" i="1"/>
  <c r="M13" i="1"/>
</calcChain>
</file>

<file path=xl/sharedStrings.xml><?xml version="1.0" encoding="utf-8"?>
<sst xmlns="http://schemas.openxmlformats.org/spreadsheetml/2006/main" count="40" uniqueCount="17">
  <si>
    <t>Trial#</t>
  </si>
  <si>
    <t>Trial phase</t>
  </si>
  <si>
    <t>Selected panel#</t>
  </si>
  <si>
    <t>min</t>
  </si>
  <si>
    <t>year</t>
  </si>
  <si>
    <t>month</t>
  </si>
  <si>
    <t>day</t>
  </si>
  <si>
    <t>hour</t>
  </si>
  <si>
    <t>sec</t>
  </si>
  <si>
    <t>delay</t>
  </si>
  <si>
    <t>delay type</t>
  </si>
  <si>
    <t>delay(sec)</t>
  </si>
  <si>
    <t>DelayA</t>
  </si>
  <si>
    <t>Correct</t>
  </si>
  <si>
    <t>Wrong</t>
  </si>
  <si>
    <t>DelayB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</si>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</sst>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2"/>
      <charset val="128"/>
      <scheme val="minor"/>
    </font>
    <font>
      <sz val="18"/>
      <color theme="3"/>
      <name val="Aptos Display"/>
      <family val="2"/>
      <charset val="128"/>
      <scheme val="major"/>
    </font>
    <font>
      <b/>
      <sz val="15"/>
      <color theme="3"/>
      <name val="Aptos Narrow"/>
      <family val="2"/>
      <charset val="128"/>
      <scheme val="minor"/>
    </font>
    <font>
      <b/>
      <sz val="13"/>
      <color theme="3"/>
      <name val="Aptos Narrow"/>
      <family val="2"/>
      <charset val="128"/>
      <scheme val="minor"/>
    </font>
    <font>
      <b/>
      <sz val="11"/>
      <color theme="3"/>
      <name val="Aptos Narrow"/>
      <family val="2"/>
      <charset val="128"/>
      <scheme val="minor"/>
    </font>
    <font>
      <sz val="11"/>
      <color rgb="FF006100"/>
      <name val="Aptos Narrow"/>
      <family val="2"/>
      <charset val="128"/>
      <scheme val="minor"/>
    </font>
    <font>
      <sz val="11"/>
      <color rgb="FF9C0006"/>
      <name val="Aptos Narrow"/>
      <family val="2"/>
      <charset val="128"/>
      <scheme val="minor"/>
    </font>
    <font>
      <sz val="11"/>
      <color rgb="FF9C5700"/>
      <name val="Aptos Narrow"/>
      <family val="2"/>
      <charset val="128"/>
      <scheme val="minor"/>
    </font>
    <font>
      <sz val="11"/>
      <color rgb="FF3F3F76"/>
      <name val="Aptos Narrow"/>
      <family val="2"/>
      <charset val="128"/>
      <scheme val="minor"/>
    </font>
    <font>
      <b/>
      <sz val="11"/>
      <color rgb="FF3F3F3F"/>
      <name val="Aptos Narrow"/>
      <family val="2"/>
      <charset val="128"/>
      <scheme val="minor"/>
    </font>
    <font>
      <b/>
      <sz val="11"/>
      <color rgb="FFFA7D00"/>
      <name val="Aptos Narrow"/>
      <family val="2"/>
      <charset val="128"/>
      <scheme val="minor"/>
    </font>
    <font>
      <sz val="11"/>
      <color rgb="FFFA7D00"/>
      <name val="Aptos Narrow"/>
      <family val="2"/>
      <charset val="128"/>
      <scheme val="minor"/>
    </font>
    <font>
      <b/>
      <sz val="11"/>
      <color theme="0"/>
      <name val="Aptos Narrow"/>
      <family val="2"/>
      <charset val="128"/>
      <scheme val="minor"/>
    </font>
    <font>
      <sz val="11"/>
      <color rgb="FFFF0000"/>
      <name val="Aptos Narrow"/>
      <family val="2"/>
      <charset val="128"/>
      <scheme val="minor"/>
    </font>
    <font>
      <i/>
      <sz val="11"/>
      <color rgb="FF7F7F7F"/>
      <name val="Aptos Narrow"/>
      <family val="2"/>
      <charset val="128"/>
      <scheme val="minor"/>
    </font>
    <font>
      <b/>
      <sz val="11"/>
      <color theme="1"/>
      <name val="Aptos Narrow"/>
      <family val="2"/>
      <charset val="128"/>
      <scheme val="minor"/>
    </font>
    <font>
      <sz val="11"/>
      <color theme="0"/>
      <name val="Aptos Narrow"/>
      <family val="2"/>
      <charset val="12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CF95-465C-40CC-8104-45C8D5E1701A}">
  <dimension ref="A4:S132"/>
  <sheetViews>
    <sheetView topLeftCell="A11" workbookViewId="0">
      <pane ySplit="525" activePane="bottomLeft"/>
      <selection activeCell="S11" sqref="S1:S1048576"/>
      <selection pane="bottomLeft" activeCell="N8" sqref="N8"/>
    </sheetView>
  </sheetViews>
  <sheetFormatPr defaultRowHeight="13" x14ac:dyDescent="0.2"/>
  <cols>
    <col min="15" max="15" width="8.7265625" style="2"/>
    <col min="19" max="19" width="8.7265625" style="2"/>
  </cols>
  <sheetData>
    <row r="4" spans="1:18" x14ac:dyDescent="0.2">
      <c r="G4">
        <f>5*1.3+10</f>
        <v>16.5</v>
      </c>
      <c r="H4">
        <f>8*1.3+10</f>
        <v>20.399999999999999</v>
      </c>
    </row>
    <row r="7" spans="1:18" x14ac:dyDescent="0.2">
      <c r="N7" t="s">
        <v>16</v>
      </c>
      <c r="O7" s="2">
        <f>SUM(O12:O132)</f>
        <v>7</v>
      </c>
      <c r="P7">
        <f t="shared" ref="P7:R7" si="0">SUM(P12:P132)</f>
        <v>5</v>
      </c>
      <c r="Q7">
        <f t="shared" si="0"/>
        <v>5</v>
      </c>
      <c r="R7">
        <f t="shared" si="0"/>
        <v>7</v>
      </c>
    </row>
    <row r="9" spans="1:18" x14ac:dyDescent="0.2">
      <c r="A9">
        <v>0</v>
      </c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  <c r="I9">
        <v>8</v>
      </c>
      <c r="J9">
        <v>9</v>
      </c>
      <c r="K9">
        <v>10</v>
      </c>
    </row>
    <row r="10" spans="1:18" x14ac:dyDescent="0.2">
      <c r="O10" s="2" t="s">
        <v>12</v>
      </c>
      <c r="Q10" t="s">
        <v>15</v>
      </c>
    </row>
    <row r="11" spans="1:18" x14ac:dyDescent="0.2">
      <c r="A11" t="s">
        <v>0</v>
      </c>
      <c r="B11" t="s">
        <v>1</v>
      </c>
      <c r="C11" t="s">
        <v>2</v>
      </c>
      <c r="D11" t="s">
        <v>4</v>
      </c>
      <c r="E11" t="s">
        <v>5</v>
      </c>
      <c r="F11" t="s">
        <v>6</v>
      </c>
      <c r="G11" t="s">
        <v>7</v>
      </c>
      <c r="H11" t="s">
        <v>3</v>
      </c>
      <c r="I11" t="s">
        <v>8</v>
      </c>
      <c r="J11" t="s">
        <v>9</v>
      </c>
      <c r="K11" t="s">
        <v>10</v>
      </c>
      <c r="M11" t="s">
        <v>8</v>
      </c>
      <c r="N11" t="s">
        <v>11</v>
      </c>
      <c r="O11" s="2" t="s">
        <v>13</v>
      </c>
      <c r="P11" t="s">
        <v>14</v>
      </c>
      <c r="Q11" t="s">
        <v>13</v>
      </c>
      <c r="R11" t="s">
        <v>14</v>
      </c>
    </row>
    <row r="12" spans="1:18" ht="14.5" x14ac:dyDescent="0.35">
      <c r="A12">
        <v>1</v>
      </c>
      <c r="B12">
        <v>0</v>
      </c>
      <c r="C12">
        <v>1</v>
      </c>
      <c r="D12">
        <v>2021</v>
      </c>
      <c r="E12">
        <v>5</v>
      </c>
      <c r="F12">
        <v>1</v>
      </c>
      <c r="G12">
        <v>0</v>
      </c>
      <c r="H12">
        <v>0</v>
      </c>
      <c r="I12">
        <v>25.347999999999999</v>
      </c>
      <c r="M12" s="1">
        <f>F12*86400+I12+H12*60+G12*60*60</f>
        <v>86425.347999999998</v>
      </c>
    </row>
    <row r="13" spans="1:18" ht="14.5" x14ac:dyDescent="0.35">
      <c r="A13">
        <v>1</v>
      </c>
      <c r="B13">
        <v>1</v>
      </c>
      <c r="C13">
        <v>1</v>
      </c>
      <c r="D13">
        <v>2021</v>
      </c>
      <c r="E13">
        <v>5</v>
      </c>
      <c r="F13">
        <v>1</v>
      </c>
      <c r="G13">
        <v>0</v>
      </c>
      <c r="H13">
        <v>0</v>
      </c>
      <c r="I13">
        <v>46.453000000000003</v>
      </c>
      <c r="M13" s="1">
        <f t="shared" ref="M13:M76" si="1">F13*86400+I13+H13*60+G13*60*60</f>
        <v>86446.452999999994</v>
      </c>
    </row>
    <row r="14" spans="1:18" ht="14.5" x14ac:dyDescent="0.35">
      <c r="A14">
        <v>1</v>
      </c>
      <c r="B14">
        <v>2</v>
      </c>
      <c r="C14">
        <v>2</v>
      </c>
      <c r="D14">
        <v>2021</v>
      </c>
      <c r="E14">
        <v>5</v>
      </c>
      <c r="F14">
        <v>1</v>
      </c>
      <c r="G14">
        <v>0</v>
      </c>
      <c r="H14">
        <v>0</v>
      </c>
      <c r="I14">
        <v>51.76</v>
      </c>
      <c r="M14" s="1">
        <f t="shared" si="1"/>
        <v>86451.76</v>
      </c>
    </row>
    <row r="15" spans="1:18" ht="14.5" x14ac:dyDescent="0.35">
      <c r="A15">
        <v>1</v>
      </c>
      <c r="B15">
        <v>3</v>
      </c>
      <c r="C15">
        <v>2</v>
      </c>
      <c r="D15">
        <v>2021</v>
      </c>
      <c r="E15">
        <v>5</v>
      </c>
      <c r="F15">
        <v>1</v>
      </c>
      <c r="G15">
        <v>0</v>
      </c>
      <c r="H15">
        <v>1</v>
      </c>
      <c r="I15">
        <v>10.317</v>
      </c>
      <c r="M15" s="1">
        <f t="shared" si="1"/>
        <v>86470.316999999995</v>
      </c>
    </row>
    <row r="16" spans="1:18" ht="14.5" x14ac:dyDescent="0.35">
      <c r="A16">
        <v>1</v>
      </c>
      <c r="B16">
        <v>5</v>
      </c>
      <c r="C16">
        <v>1</v>
      </c>
      <c r="D16">
        <v>2021</v>
      </c>
      <c r="E16">
        <v>5</v>
      </c>
      <c r="F16">
        <v>1</v>
      </c>
      <c r="G16">
        <v>0</v>
      </c>
      <c r="H16">
        <v>1</v>
      </c>
      <c r="I16">
        <v>21.2</v>
      </c>
      <c r="J16">
        <v>5</v>
      </c>
      <c r="K16">
        <v>0</v>
      </c>
      <c r="M16" s="1">
        <f t="shared" si="1"/>
        <v>86481.2</v>
      </c>
      <c r="N16">
        <f>M16-M13</f>
        <v>34.747000000003027</v>
      </c>
      <c r="P16">
        <v>1</v>
      </c>
    </row>
    <row r="17" spans="1:18" ht="14.5" x14ac:dyDescent="0.35">
      <c r="A17">
        <v>2</v>
      </c>
      <c r="B17">
        <v>0</v>
      </c>
      <c r="C17">
        <v>1</v>
      </c>
      <c r="D17">
        <v>2021</v>
      </c>
      <c r="E17">
        <v>5</v>
      </c>
      <c r="F17">
        <v>1</v>
      </c>
      <c r="G17">
        <v>0</v>
      </c>
      <c r="H17">
        <v>1</v>
      </c>
      <c r="I17">
        <v>56.58</v>
      </c>
      <c r="M17" s="1">
        <f t="shared" si="1"/>
        <v>86516.58</v>
      </c>
      <c r="N17">
        <f>J16*1.3+10</f>
        <v>16.5</v>
      </c>
    </row>
    <row r="18" spans="1:18" ht="14.5" x14ac:dyDescent="0.35">
      <c r="A18">
        <v>2</v>
      </c>
      <c r="B18">
        <v>1</v>
      </c>
      <c r="C18">
        <v>1</v>
      </c>
      <c r="D18">
        <v>2021</v>
      </c>
      <c r="E18">
        <v>5</v>
      </c>
      <c r="F18">
        <v>1</v>
      </c>
      <c r="G18">
        <v>0</v>
      </c>
      <c r="H18">
        <v>3</v>
      </c>
      <c r="I18">
        <v>22.276</v>
      </c>
      <c r="M18" s="1">
        <f t="shared" si="1"/>
        <v>86602.275999999998</v>
      </c>
    </row>
    <row r="19" spans="1:18" ht="14.5" x14ac:dyDescent="0.35">
      <c r="A19">
        <v>2</v>
      </c>
      <c r="B19">
        <v>2</v>
      </c>
      <c r="C19">
        <v>2</v>
      </c>
      <c r="D19">
        <v>2021</v>
      </c>
      <c r="E19">
        <v>5</v>
      </c>
      <c r="F19">
        <v>1</v>
      </c>
      <c r="G19">
        <v>3</v>
      </c>
      <c r="H19">
        <v>3</v>
      </c>
      <c r="I19">
        <v>53.832999999999998</v>
      </c>
      <c r="M19" s="1">
        <f t="shared" si="1"/>
        <v>97433.832999999999</v>
      </c>
    </row>
    <row r="20" spans="1:18" ht="14.5" x14ac:dyDescent="0.35">
      <c r="A20">
        <v>2</v>
      </c>
      <c r="B20">
        <v>3</v>
      </c>
      <c r="C20">
        <v>2</v>
      </c>
      <c r="D20">
        <v>2021</v>
      </c>
      <c r="E20">
        <v>5</v>
      </c>
      <c r="F20">
        <v>1</v>
      </c>
      <c r="G20">
        <v>3</v>
      </c>
      <c r="H20">
        <v>54</v>
      </c>
      <c r="I20">
        <v>7.9260000000000002</v>
      </c>
      <c r="M20" s="1">
        <f t="shared" si="1"/>
        <v>100447.92600000001</v>
      </c>
    </row>
    <row r="21" spans="1:18" ht="14.5" x14ac:dyDescent="0.35">
      <c r="A21">
        <v>2</v>
      </c>
      <c r="B21">
        <v>5</v>
      </c>
      <c r="C21">
        <v>1</v>
      </c>
      <c r="D21">
        <v>2021</v>
      </c>
      <c r="E21">
        <v>5</v>
      </c>
      <c r="F21">
        <v>1</v>
      </c>
      <c r="G21">
        <v>3</v>
      </c>
      <c r="H21">
        <v>54</v>
      </c>
      <c r="I21">
        <v>19.425999999999998</v>
      </c>
      <c r="J21">
        <v>8</v>
      </c>
      <c r="K21">
        <v>1</v>
      </c>
      <c r="M21" s="1">
        <f t="shared" si="1"/>
        <v>100459.42600000001</v>
      </c>
      <c r="N21">
        <f>M21-M18</f>
        <v>13857.150000000009</v>
      </c>
      <c r="R21">
        <v>1</v>
      </c>
    </row>
    <row r="22" spans="1:18" ht="14.5" x14ac:dyDescent="0.35">
      <c r="A22">
        <v>3</v>
      </c>
      <c r="B22">
        <v>0</v>
      </c>
      <c r="C22">
        <v>0</v>
      </c>
      <c r="D22">
        <v>2021</v>
      </c>
      <c r="E22">
        <v>5</v>
      </c>
      <c r="F22">
        <v>1</v>
      </c>
      <c r="G22">
        <v>3</v>
      </c>
      <c r="H22">
        <v>54</v>
      </c>
      <c r="I22">
        <v>54.427999999999997</v>
      </c>
      <c r="M22" s="1">
        <f t="shared" si="1"/>
        <v>100494.428</v>
      </c>
      <c r="N22">
        <f>J21*1.3+10</f>
        <v>20.399999999999999</v>
      </c>
    </row>
    <row r="23" spans="1:18" ht="14.5" x14ac:dyDescent="0.35">
      <c r="A23">
        <v>3</v>
      </c>
      <c r="B23">
        <v>1</v>
      </c>
      <c r="C23">
        <v>0</v>
      </c>
      <c r="D23">
        <v>2021</v>
      </c>
      <c r="E23">
        <v>5</v>
      </c>
      <c r="F23">
        <v>1</v>
      </c>
      <c r="G23">
        <v>3</v>
      </c>
      <c r="H23">
        <v>56</v>
      </c>
      <c r="I23">
        <v>1.7929999999999999</v>
      </c>
      <c r="M23" s="1">
        <f t="shared" si="1"/>
        <v>100561.79300000001</v>
      </c>
    </row>
    <row r="24" spans="1:18" ht="14.5" x14ac:dyDescent="0.35">
      <c r="A24">
        <v>3</v>
      </c>
      <c r="B24">
        <v>2</v>
      </c>
      <c r="C24">
        <v>2</v>
      </c>
      <c r="D24">
        <v>2021</v>
      </c>
      <c r="E24">
        <v>5</v>
      </c>
      <c r="F24">
        <v>1</v>
      </c>
      <c r="G24">
        <v>4</v>
      </c>
      <c r="H24">
        <v>1</v>
      </c>
      <c r="I24">
        <v>39.232999999999997</v>
      </c>
      <c r="M24" s="1">
        <f t="shared" si="1"/>
        <v>100899.23299999999</v>
      </c>
    </row>
    <row r="25" spans="1:18" ht="14.5" x14ac:dyDescent="0.35">
      <c r="A25">
        <v>3</v>
      </c>
      <c r="B25">
        <v>3</v>
      </c>
      <c r="C25">
        <v>2</v>
      </c>
      <c r="D25">
        <v>2021</v>
      </c>
      <c r="E25">
        <v>5</v>
      </c>
      <c r="F25">
        <v>1</v>
      </c>
      <c r="G25">
        <v>4</v>
      </c>
      <c r="H25">
        <v>31</v>
      </c>
      <c r="I25">
        <v>9.4540000000000006</v>
      </c>
      <c r="M25" s="1">
        <f t="shared" si="1"/>
        <v>102669.454</v>
      </c>
    </row>
    <row r="26" spans="1:18" ht="14.5" x14ac:dyDescent="0.35">
      <c r="A26">
        <v>3</v>
      </c>
      <c r="B26">
        <v>5</v>
      </c>
      <c r="C26">
        <v>0</v>
      </c>
      <c r="D26">
        <v>2021</v>
      </c>
      <c r="E26">
        <v>5</v>
      </c>
      <c r="F26">
        <v>1</v>
      </c>
      <c r="G26">
        <v>4</v>
      </c>
      <c r="H26">
        <v>36</v>
      </c>
      <c r="I26">
        <v>31.437999999999999</v>
      </c>
      <c r="J26">
        <v>8</v>
      </c>
      <c r="K26">
        <v>1</v>
      </c>
      <c r="M26" s="1">
        <f t="shared" si="1"/>
        <v>102991.43799999999</v>
      </c>
      <c r="N26">
        <f>M26-M23</f>
        <v>2429.6449999999895</v>
      </c>
      <c r="R26">
        <v>1</v>
      </c>
    </row>
    <row r="27" spans="1:18" ht="14.5" x14ac:dyDescent="0.35">
      <c r="A27">
        <v>4</v>
      </c>
      <c r="B27">
        <v>0</v>
      </c>
      <c r="C27">
        <v>1</v>
      </c>
      <c r="D27">
        <v>2021</v>
      </c>
      <c r="E27">
        <v>5</v>
      </c>
      <c r="F27">
        <v>1</v>
      </c>
      <c r="G27">
        <v>4</v>
      </c>
      <c r="H27">
        <v>37</v>
      </c>
      <c r="I27">
        <v>6.4180000000000001</v>
      </c>
      <c r="M27" s="1">
        <f t="shared" si="1"/>
        <v>103026.41800000001</v>
      </c>
      <c r="N27">
        <f>J26*1.3+10</f>
        <v>20.399999999999999</v>
      </c>
    </row>
    <row r="28" spans="1:18" ht="14.5" x14ac:dyDescent="0.35">
      <c r="A28">
        <v>4</v>
      </c>
      <c r="B28">
        <v>1</v>
      </c>
      <c r="C28">
        <v>1</v>
      </c>
      <c r="D28">
        <v>2021</v>
      </c>
      <c r="E28">
        <v>5</v>
      </c>
      <c r="F28">
        <v>1</v>
      </c>
      <c r="G28">
        <v>4</v>
      </c>
      <c r="H28">
        <v>37</v>
      </c>
      <c r="I28">
        <v>43.222999999999999</v>
      </c>
      <c r="M28" s="1">
        <f t="shared" si="1"/>
        <v>103063.223</v>
      </c>
    </row>
    <row r="29" spans="1:18" ht="14.5" x14ac:dyDescent="0.35">
      <c r="A29">
        <v>4</v>
      </c>
      <c r="B29">
        <v>2</v>
      </c>
      <c r="C29">
        <v>2</v>
      </c>
      <c r="D29">
        <v>2021</v>
      </c>
      <c r="E29">
        <v>5</v>
      </c>
      <c r="F29">
        <v>1</v>
      </c>
      <c r="G29">
        <v>4</v>
      </c>
      <c r="H29">
        <v>37</v>
      </c>
      <c r="I29">
        <v>49.185000000000002</v>
      </c>
      <c r="M29" s="1">
        <f t="shared" si="1"/>
        <v>103069.185</v>
      </c>
    </row>
    <row r="30" spans="1:18" ht="14.5" x14ac:dyDescent="0.35">
      <c r="A30">
        <v>4</v>
      </c>
      <c r="B30">
        <v>3</v>
      </c>
      <c r="C30">
        <v>2</v>
      </c>
      <c r="D30">
        <v>2021</v>
      </c>
      <c r="E30">
        <v>5</v>
      </c>
      <c r="F30">
        <v>1</v>
      </c>
      <c r="G30">
        <v>5</v>
      </c>
      <c r="H30">
        <v>23</v>
      </c>
      <c r="I30">
        <v>16.565999999999999</v>
      </c>
      <c r="M30" s="1">
        <f t="shared" si="1"/>
        <v>105796.56600000001</v>
      </c>
    </row>
    <row r="31" spans="1:18" ht="14.5" x14ac:dyDescent="0.35">
      <c r="A31">
        <v>4</v>
      </c>
      <c r="B31">
        <v>5</v>
      </c>
      <c r="C31">
        <v>1</v>
      </c>
      <c r="D31">
        <v>2021</v>
      </c>
      <c r="E31">
        <v>5</v>
      </c>
      <c r="F31">
        <v>1</v>
      </c>
      <c r="G31">
        <v>5</v>
      </c>
      <c r="H31">
        <v>23</v>
      </c>
      <c r="I31">
        <v>29.181999999999999</v>
      </c>
      <c r="J31">
        <v>5</v>
      </c>
      <c r="K31">
        <v>0</v>
      </c>
      <c r="M31" s="1">
        <f t="shared" si="1"/>
        <v>105809.182</v>
      </c>
      <c r="N31">
        <f>M31-M28</f>
        <v>2745.9590000000026</v>
      </c>
      <c r="P31">
        <v>1</v>
      </c>
    </row>
    <row r="32" spans="1:18" ht="14.5" x14ac:dyDescent="0.35">
      <c r="A32">
        <v>5</v>
      </c>
      <c r="B32">
        <v>0</v>
      </c>
      <c r="C32">
        <v>1</v>
      </c>
      <c r="D32">
        <v>2021</v>
      </c>
      <c r="E32">
        <v>5</v>
      </c>
      <c r="F32">
        <v>1</v>
      </c>
      <c r="G32">
        <v>5</v>
      </c>
      <c r="H32">
        <v>24</v>
      </c>
      <c r="I32">
        <v>4.1509999999999998</v>
      </c>
      <c r="M32" s="1">
        <f t="shared" si="1"/>
        <v>105844.151</v>
      </c>
      <c r="N32">
        <f>J31*1.3+10</f>
        <v>16.5</v>
      </c>
    </row>
    <row r="33" spans="1:18" ht="14.5" x14ac:dyDescent="0.35">
      <c r="A33">
        <v>5</v>
      </c>
      <c r="B33">
        <v>1</v>
      </c>
      <c r="C33">
        <v>1</v>
      </c>
      <c r="D33">
        <v>2021</v>
      </c>
      <c r="E33">
        <v>5</v>
      </c>
      <c r="F33">
        <v>1</v>
      </c>
      <c r="G33">
        <v>5</v>
      </c>
      <c r="H33">
        <v>32</v>
      </c>
      <c r="I33">
        <v>51.999000000000002</v>
      </c>
      <c r="M33" s="1">
        <f t="shared" si="1"/>
        <v>106371.999</v>
      </c>
    </row>
    <row r="34" spans="1:18" ht="14.5" x14ac:dyDescent="0.35">
      <c r="A34">
        <v>5</v>
      </c>
      <c r="B34">
        <v>2</v>
      </c>
      <c r="C34">
        <v>2</v>
      </c>
      <c r="D34">
        <v>2021</v>
      </c>
      <c r="E34">
        <v>5</v>
      </c>
      <c r="F34">
        <v>1</v>
      </c>
      <c r="G34">
        <v>5</v>
      </c>
      <c r="H34">
        <v>34</v>
      </c>
      <c r="I34">
        <v>20.326000000000001</v>
      </c>
      <c r="M34" s="1">
        <f t="shared" si="1"/>
        <v>106460.326</v>
      </c>
    </row>
    <row r="35" spans="1:18" ht="14.5" x14ac:dyDescent="0.35">
      <c r="A35">
        <v>5</v>
      </c>
      <c r="B35">
        <v>3</v>
      </c>
      <c r="C35">
        <v>2</v>
      </c>
      <c r="D35">
        <v>2021</v>
      </c>
      <c r="E35">
        <v>5</v>
      </c>
      <c r="F35">
        <v>1</v>
      </c>
      <c r="G35">
        <v>5</v>
      </c>
      <c r="H35">
        <v>34</v>
      </c>
      <c r="I35">
        <v>25.991</v>
      </c>
      <c r="M35" s="1">
        <f t="shared" si="1"/>
        <v>106465.99099999999</v>
      </c>
    </row>
    <row r="36" spans="1:18" ht="14.5" x14ac:dyDescent="0.35">
      <c r="A36">
        <v>4</v>
      </c>
      <c r="B36">
        <v>4</v>
      </c>
      <c r="C36">
        <v>0</v>
      </c>
      <c r="D36">
        <v>2021</v>
      </c>
      <c r="E36">
        <v>5</v>
      </c>
      <c r="F36">
        <v>1</v>
      </c>
      <c r="G36">
        <v>5</v>
      </c>
      <c r="H36">
        <v>34</v>
      </c>
      <c r="I36">
        <v>37.694000000000003</v>
      </c>
      <c r="J36">
        <v>5</v>
      </c>
      <c r="K36">
        <v>0</v>
      </c>
      <c r="M36" s="1">
        <f t="shared" si="1"/>
        <v>106477.694</v>
      </c>
      <c r="N36">
        <f>M36-M33</f>
        <v>105.69500000000698</v>
      </c>
      <c r="O36" s="2">
        <v>1</v>
      </c>
    </row>
    <row r="37" spans="1:18" ht="14.5" x14ac:dyDescent="0.35">
      <c r="A37">
        <v>6</v>
      </c>
      <c r="B37">
        <v>0</v>
      </c>
      <c r="C37">
        <v>0</v>
      </c>
      <c r="D37">
        <v>2021</v>
      </c>
      <c r="E37">
        <v>5</v>
      </c>
      <c r="F37">
        <v>1</v>
      </c>
      <c r="G37">
        <v>5</v>
      </c>
      <c r="H37">
        <v>35</v>
      </c>
      <c r="I37">
        <v>1.9219999999999999</v>
      </c>
      <c r="M37" s="1">
        <f t="shared" si="1"/>
        <v>106501.92200000001</v>
      </c>
      <c r="N37">
        <f>J36*1.3+10</f>
        <v>16.5</v>
      </c>
    </row>
    <row r="38" spans="1:18" ht="14.5" x14ac:dyDescent="0.35">
      <c r="A38">
        <v>6</v>
      </c>
      <c r="B38">
        <v>1</v>
      </c>
      <c r="C38">
        <v>0</v>
      </c>
      <c r="D38">
        <v>2021</v>
      </c>
      <c r="E38">
        <v>5</v>
      </c>
      <c r="F38">
        <v>1</v>
      </c>
      <c r="G38">
        <v>5</v>
      </c>
      <c r="H38">
        <v>35</v>
      </c>
      <c r="I38">
        <v>13.284000000000001</v>
      </c>
      <c r="M38" s="1">
        <f t="shared" si="1"/>
        <v>106513.284</v>
      </c>
    </row>
    <row r="39" spans="1:18" ht="14.5" x14ac:dyDescent="0.35">
      <c r="A39">
        <v>6</v>
      </c>
      <c r="B39">
        <v>2</v>
      </c>
      <c r="C39">
        <v>2</v>
      </c>
      <c r="D39">
        <v>2021</v>
      </c>
      <c r="E39">
        <v>5</v>
      </c>
      <c r="F39">
        <v>1</v>
      </c>
      <c r="G39">
        <v>5</v>
      </c>
      <c r="H39">
        <v>35</v>
      </c>
      <c r="I39">
        <v>22.439</v>
      </c>
      <c r="M39" s="1">
        <f t="shared" si="1"/>
        <v>106522.439</v>
      </c>
    </row>
    <row r="40" spans="1:18" ht="14.5" x14ac:dyDescent="0.35">
      <c r="A40">
        <v>6</v>
      </c>
      <c r="B40">
        <v>3</v>
      </c>
      <c r="C40">
        <v>2</v>
      </c>
      <c r="D40">
        <v>2021</v>
      </c>
      <c r="E40">
        <v>5</v>
      </c>
      <c r="F40">
        <v>1</v>
      </c>
      <c r="G40">
        <v>5</v>
      </c>
      <c r="H40">
        <v>35</v>
      </c>
      <c r="I40">
        <v>33.859000000000002</v>
      </c>
      <c r="M40" s="1">
        <f t="shared" si="1"/>
        <v>106533.859</v>
      </c>
    </row>
    <row r="41" spans="1:18" ht="14.5" x14ac:dyDescent="0.35">
      <c r="A41">
        <v>6</v>
      </c>
      <c r="B41">
        <v>5</v>
      </c>
      <c r="C41">
        <v>0</v>
      </c>
      <c r="D41">
        <v>2021</v>
      </c>
      <c r="E41">
        <v>5</v>
      </c>
      <c r="F41">
        <v>1</v>
      </c>
      <c r="G41">
        <v>5</v>
      </c>
      <c r="H41">
        <v>35</v>
      </c>
      <c r="I41">
        <v>37.283999999999999</v>
      </c>
      <c r="J41">
        <v>8</v>
      </c>
      <c r="K41">
        <v>1</v>
      </c>
      <c r="M41" s="1">
        <f t="shared" si="1"/>
        <v>106537.284</v>
      </c>
      <c r="N41">
        <f>M41-M38</f>
        <v>24</v>
      </c>
      <c r="R41">
        <v>1</v>
      </c>
    </row>
    <row r="42" spans="1:18" ht="14.5" x14ac:dyDescent="0.35">
      <c r="A42">
        <v>7</v>
      </c>
      <c r="B42">
        <v>0</v>
      </c>
      <c r="C42">
        <v>0</v>
      </c>
      <c r="D42">
        <v>2021</v>
      </c>
      <c r="E42">
        <v>5</v>
      </c>
      <c r="F42">
        <v>1</v>
      </c>
      <c r="G42">
        <v>5</v>
      </c>
      <c r="H42">
        <v>36</v>
      </c>
      <c r="I42">
        <v>12.215999999999999</v>
      </c>
      <c r="M42" s="1">
        <f t="shared" si="1"/>
        <v>106572.216</v>
      </c>
      <c r="N42">
        <f>J41*1.3+10</f>
        <v>20.399999999999999</v>
      </c>
    </row>
    <row r="43" spans="1:18" ht="14.5" x14ac:dyDescent="0.35">
      <c r="A43">
        <v>7</v>
      </c>
      <c r="B43">
        <v>1</v>
      </c>
      <c r="C43">
        <v>0</v>
      </c>
      <c r="D43">
        <v>2021</v>
      </c>
      <c r="E43">
        <v>5</v>
      </c>
      <c r="F43">
        <v>1</v>
      </c>
      <c r="G43">
        <v>5</v>
      </c>
      <c r="H43">
        <v>37</v>
      </c>
      <c r="I43">
        <v>38.845999999999997</v>
      </c>
      <c r="M43" s="1">
        <f t="shared" si="1"/>
        <v>106658.84600000001</v>
      </c>
    </row>
    <row r="44" spans="1:18" ht="14.5" x14ac:dyDescent="0.35">
      <c r="A44">
        <v>7</v>
      </c>
      <c r="B44">
        <v>2</v>
      </c>
      <c r="C44">
        <v>2</v>
      </c>
      <c r="D44">
        <v>2021</v>
      </c>
      <c r="E44">
        <v>5</v>
      </c>
      <c r="F44">
        <v>1</v>
      </c>
      <c r="G44">
        <v>5</v>
      </c>
      <c r="H44">
        <v>37</v>
      </c>
      <c r="I44">
        <v>43.796999999999997</v>
      </c>
      <c r="M44" s="1">
        <f t="shared" si="1"/>
        <v>106663.79700000001</v>
      </c>
    </row>
    <row r="45" spans="1:18" ht="14.5" x14ac:dyDescent="0.35">
      <c r="A45">
        <v>7</v>
      </c>
      <c r="B45">
        <v>3</v>
      </c>
      <c r="C45">
        <v>2</v>
      </c>
      <c r="D45">
        <v>2021</v>
      </c>
      <c r="E45">
        <v>5</v>
      </c>
      <c r="F45">
        <v>1</v>
      </c>
      <c r="G45">
        <v>5</v>
      </c>
      <c r="H45">
        <v>37</v>
      </c>
      <c r="I45">
        <v>49.834000000000003</v>
      </c>
      <c r="M45" s="1">
        <f t="shared" si="1"/>
        <v>106669.834</v>
      </c>
    </row>
    <row r="46" spans="1:18" ht="14.5" x14ac:dyDescent="0.35">
      <c r="A46">
        <v>6</v>
      </c>
      <c r="B46">
        <v>4</v>
      </c>
      <c r="C46">
        <v>1</v>
      </c>
      <c r="D46">
        <v>2021</v>
      </c>
      <c r="E46">
        <v>5</v>
      </c>
      <c r="F46">
        <v>1</v>
      </c>
      <c r="G46">
        <v>5</v>
      </c>
      <c r="H46">
        <v>37</v>
      </c>
      <c r="I46">
        <v>55.506999999999998</v>
      </c>
      <c r="J46">
        <v>5</v>
      </c>
      <c r="K46">
        <v>0</v>
      </c>
      <c r="M46" s="1">
        <f t="shared" si="1"/>
        <v>106675.507</v>
      </c>
      <c r="N46">
        <f>M46-M43</f>
        <v>16.660999999992782</v>
      </c>
      <c r="O46" s="2">
        <v>1</v>
      </c>
    </row>
    <row r="47" spans="1:18" ht="14.5" x14ac:dyDescent="0.35">
      <c r="A47">
        <v>8</v>
      </c>
      <c r="B47">
        <v>0</v>
      </c>
      <c r="C47">
        <v>1</v>
      </c>
      <c r="D47">
        <v>2021</v>
      </c>
      <c r="E47">
        <v>5</v>
      </c>
      <c r="F47">
        <v>1</v>
      </c>
      <c r="G47">
        <v>5</v>
      </c>
      <c r="H47">
        <v>38</v>
      </c>
      <c r="I47">
        <v>20.27</v>
      </c>
      <c r="M47" s="1">
        <f t="shared" si="1"/>
        <v>106700.27</v>
      </c>
      <c r="N47">
        <f>J46*1.3+10</f>
        <v>16.5</v>
      </c>
    </row>
    <row r="48" spans="1:18" ht="14.5" x14ac:dyDescent="0.35">
      <c r="A48">
        <v>8</v>
      </c>
      <c r="B48">
        <v>1</v>
      </c>
      <c r="C48">
        <v>1</v>
      </c>
      <c r="D48">
        <v>2021</v>
      </c>
      <c r="E48">
        <v>5</v>
      </c>
      <c r="F48">
        <v>1</v>
      </c>
      <c r="G48">
        <v>5</v>
      </c>
      <c r="H48">
        <v>38</v>
      </c>
      <c r="I48">
        <v>32.904000000000003</v>
      </c>
      <c r="M48" s="1">
        <f t="shared" si="1"/>
        <v>106712.90399999999</v>
      </c>
    </row>
    <row r="49" spans="1:17" ht="14.5" x14ac:dyDescent="0.35">
      <c r="A49">
        <v>8</v>
      </c>
      <c r="B49">
        <v>2</v>
      </c>
      <c r="C49">
        <v>2</v>
      </c>
      <c r="D49">
        <v>2021</v>
      </c>
      <c r="E49">
        <v>5</v>
      </c>
      <c r="F49">
        <v>1</v>
      </c>
      <c r="G49">
        <v>5</v>
      </c>
      <c r="H49">
        <v>38</v>
      </c>
      <c r="I49">
        <v>37.927999999999997</v>
      </c>
      <c r="M49" s="1">
        <f t="shared" si="1"/>
        <v>106717.928</v>
      </c>
    </row>
    <row r="50" spans="1:17" ht="14.5" x14ac:dyDescent="0.35">
      <c r="A50">
        <v>8</v>
      </c>
      <c r="B50">
        <v>3</v>
      </c>
      <c r="C50">
        <v>2</v>
      </c>
      <c r="D50">
        <v>2021</v>
      </c>
      <c r="E50">
        <v>5</v>
      </c>
      <c r="F50">
        <v>1</v>
      </c>
      <c r="G50">
        <v>5</v>
      </c>
      <c r="H50">
        <v>38</v>
      </c>
      <c r="I50">
        <v>47.988</v>
      </c>
      <c r="M50" s="1">
        <f t="shared" si="1"/>
        <v>106727.988</v>
      </c>
    </row>
    <row r="51" spans="1:17" ht="14.5" x14ac:dyDescent="0.35">
      <c r="A51">
        <v>8</v>
      </c>
      <c r="B51">
        <v>5</v>
      </c>
      <c r="C51">
        <v>1</v>
      </c>
      <c r="D51">
        <v>2021</v>
      </c>
      <c r="E51">
        <v>5</v>
      </c>
      <c r="F51">
        <v>1</v>
      </c>
      <c r="G51">
        <v>5</v>
      </c>
      <c r="H51">
        <v>38</v>
      </c>
      <c r="I51">
        <v>53.146000000000001</v>
      </c>
      <c r="J51">
        <v>5</v>
      </c>
      <c r="K51">
        <v>0</v>
      </c>
      <c r="M51" s="1">
        <f t="shared" si="1"/>
        <v>106733.14599999999</v>
      </c>
      <c r="N51">
        <f>M51-M48</f>
        <v>20.24199999999837</v>
      </c>
      <c r="P51">
        <v>1</v>
      </c>
    </row>
    <row r="52" spans="1:17" ht="14.5" x14ac:dyDescent="0.35">
      <c r="A52">
        <v>9</v>
      </c>
      <c r="B52">
        <v>0</v>
      </c>
      <c r="C52">
        <v>1</v>
      </c>
      <c r="D52">
        <v>2021</v>
      </c>
      <c r="E52">
        <v>5</v>
      </c>
      <c r="F52">
        <v>1</v>
      </c>
      <c r="G52">
        <v>5</v>
      </c>
      <c r="H52">
        <v>39</v>
      </c>
      <c r="I52">
        <v>28.149000000000001</v>
      </c>
      <c r="M52" s="1">
        <f t="shared" si="1"/>
        <v>106768.149</v>
      </c>
      <c r="N52">
        <f>J51*1.3+10</f>
        <v>16.5</v>
      </c>
    </row>
    <row r="53" spans="1:17" ht="14.5" x14ac:dyDescent="0.35">
      <c r="A53">
        <v>9</v>
      </c>
      <c r="B53">
        <v>1</v>
      </c>
      <c r="C53">
        <v>1</v>
      </c>
      <c r="D53">
        <v>2021</v>
      </c>
      <c r="E53">
        <v>5</v>
      </c>
      <c r="F53">
        <v>1</v>
      </c>
      <c r="G53">
        <v>5</v>
      </c>
      <c r="H53">
        <v>40</v>
      </c>
      <c r="I53">
        <v>56.643000000000001</v>
      </c>
      <c r="M53" s="1">
        <f t="shared" si="1"/>
        <v>106856.643</v>
      </c>
    </row>
    <row r="54" spans="1:17" ht="14.5" x14ac:dyDescent="0.35">
      <c r="A54">
        <v>9</v>
      </c>
      <c r="B54">
        <v>2</v>
      </c>
      <c r="C54">
        <v>2</v>
      </c>
      <c r="D54">
        <v>2021</v>
      </c>
      <c r="E54">
        <v>5</v>
      </c>
      <c r="F54">
        <v>1</v>
      </c>
      <c r="G54">
        <v>5</v>
      </c>
      <c r="H54">
        <v>41</v>
      </c>
      <c r="I54">
        <v>1.609</v>
      </c>
      <c r="M54" s="1">
        <f t="shared" si="1"/>
        <v>106861.609</v>
      </c>
    </row>
    <row r="55" spans="1:17" ht="14.5" x14ac:dyDescent="0.35">
      <c r="A55">
        <v>9</v>
      </c>
      <c r="B55">
        <v>3</v>
      </c>
      <c r="C55">
        <v>2</v>
      </c>
      <c r="D55">
        <v>2021</v>
      </c>
      <c r="E55">
        <v>5</v>
      </c>
      <c r="F55">
        <v>1</v>
      </c>
      <c r="G55">
        <v>5</v>
      </c>
      <c r="H55">
        <v>41</v>
      </c>
      <c r="I55">
        <v>11.718</v>
      </c>
      <c r="M55" s="1">
        <f t="shared" si="1"/>
        <v>106871.71799999999</v>
      </c>
    </row>
    <row r="56" spans="1:17" ht="14.5" x14ac:dyDescent="0.35">
      <c r="A56">
        <v>8</v>
      </c>
      <c r="B56">
        <v>4</v>
      </c>
      <c r="C56">
        <v>0</v>
      </c>
      <c r="D56">
        <v>2021</v>
      </c>
      <c r="E56">
        <v>5</v>
      </c>
      <c r="F56">
        <v>1</v>
      </c>
      <c r="G56">
        <v>5</v>
      </c>
      <c r="H56">
        <v>41</v>
      </c>
      <c r="I56">
        <v>15.496</v>
      </c>
      <c r="J56">
        <v>8</v>
      </c>
      <c r="K56">
        <v>1</v>
      </c>
      <c r="M56" s="1">
        <f t="shared" si="1"/>
        <v>106875.496</v>
      </c>
      <c r="N56">
        <f>M56-M53</f>
        <v>18.853000000002794</v>
      </c>
      <c r="Q56">
        <v>1</v>
      </c>
    </row>
    <row r="57" spans="1:17" ht="14.5" x14ac:dyDescent="0.35">
      <c r="A57">
        <v>10</v>
      </c>
      <c r="B57">
        <v>0</v>
      </c>
      <c r="C57">
        <v>0</v>
      </c>
      <c r="D57">
        <v>2021</v>
      </c>
      <c r="E57">
        <v>5</v>
      </c>
      <c r="F57">
        <v>1</v>
      </c>
      <c r="G57">
        <v>5</v>
      </c>
      <c r="H57">
        <v>41</v>
      </c>
      <c r="I57">
        <v>40.332000000000001</v>
      </c>
      <c r="M57" s="1">
        <f t="shared" si="1"/>
        <v>106900.33199999999</v>
      </c>
      <c r="N57">
        <f>J56*1.3+10</f>
        <v>20.399999999999999</v>
      </c>
    </row>
    <row r="58" spans="1:17" ht="14.5" x14ac:dyDescent="0.35">
      <c r="A58">
        <v>10</v>
      </c>
      <c r="B58">
        <v>1</v>
      </c>
      <c r="C58">
        <v>0</v>
      </c>
      <c r="D58">
        <v>2021</v>
      </c>
      <c r="E58">
        <v>5</v>
      </c>
      <c r="F58">
        <v>1</v>
      </c>
      <c r="G58">
        <v>5</v>
      </c>
      <c r="H58">
        <v>43</v>
      </c>
      <c r="I58">
        <v>49.981999999999999</v>
      </c>
      <c r="M58" s="1">
        <f t="shared" si="1"/>
        <v>107029.982</v>
      </c>
    </row>
    <row r="59" spans="1:17" ht="14.5" x14ac:dyDescent="0.35">
      <c r="A59">
        <v>10</v>
      </c>
      <c r="B59">
        <v>2</v>
      </c>
      <c r="C59">
        <v>2</v>
      </c>
      <c r="D59">
        <v>2021</v>
      </c>
      <c r="E59">
        <v>5</v>
      </c>
      <c r="F59">
        <v>1</v>
      </c>
      <c r="G59">
        <v>5</v>
      </c>
      <c r="H59">
        <v>45</v>
      </c>
      <c r="I59">
        <v>12.477</v>
      </c>
      <c r="M59" s="1">
        <f t="shared" si="1"/>
        <v>107112.477</v>
      </c>
    </row>
    <row r="60" spans="1:17" ht="14.5" x14ac:dyDescent="0.35">
      <c r="A60">
        <v>10</v>
      </c>
      <c r="B60">
        <v>3</v>
      </c>
      <c r="C60">
        <v>2</v>
      </c>
      <c r="D60">
        <v>2021</v>
      </c>
      <c r="E60">
        <v>5</v>
      </c>
      <c r="F60">
        <v>1</v>
      </c>
      <c r="G60">
        <v>5</v>
      </c>
      <c r="H60">
        <v>45</v>
      </c>
      <c r="I60">
        <v>18.350000000000001</v>
      </c>
      <c r="M60" s="1">
        <f t="shared" si="1"/>
        <v>107118.35</v>
      </c>
    </row>
    <row r="61" spans="1:17" ht="14.5" x14ac:dyDescent="0.35">
      <c r="A61">
        <v>9</v>
      </c>
      <c r="B61">
        <v>4</v>
      </c>
      <c r="C61">
        <v>1</v>
      </c>
      <c r="D61">
        <v>2021</v>
      </c>
      <c r="E61">
        <v>5</v>
      </c>
      <c r="F61">
        <v>1</v>
      </c>
      <c r="G61">
        <v>5</v>
      </c>
      <c r="H61">
        <v>45</v>
      </c>
      <c r="I61">
        <v>39.654000000000003</v>
      </c>
      <c r="J61">
        <v>5</v>
      </c>
      <c r="K61">
        <v>0</v>
      </c>
      <c r="M61" s="1">
        <f t="shared" si="1"/>
        <v>107139.65399999999</v>
      </c>
      <c r="N61">
        <f>M61-M58</f>
        <v>109.67199999999139</v>
      </c>
      <c r="O61" s="2">
        <v>1</v>
      </c>
    </row>
    <row r="62" spans="1:17" ht="14.5" x14ac:dyDescent="0.35">
      <c r="A62">
        <v>11</v>
      </c>
      <c r="B62">
        <v>0</v>
      </c>
      <c r="C62">
        <v>0</v>
      </c>
      <c r="D62">
        <v>2021</v>
      </c>
      <c r="E62">
        <v>5</v>
      </c>
      <c r="F62">
        <v>1</v>
      </c>
      <c r="G62">
        <v>5</v>
      </c>
      <c r="H62">
        <v>46</v>
      </c>
      <c r="I62">
        <v>3.7360000000000002</v>
      </c>
      <c r="M62" s="1">
        <f t="shared" si="1"/>
        <v>107163.736</v>
      </c>
      <c r="N62">
        <f>J61*1.3+10</f>
        <v>16.5</v>
      </c>
    </row>
    <row r="63" spans="1:17" ht="14.5" x14ac:dyDescent="0.35">
      <c r="A63">
        <v>11</v>
      </c>
      <c r="B63">
        <v>1</v>
      </c>
      <c r="C63">
        <v>0</v>
      </c>
      <c r="D63">
        <v>2021</v>
      </c>
      <c r="E63">
        <v>5</v>
      </c>
      <c r="F63">
        <v>1</v>
      </c>
      <c r="G63">
        <v>5</v>
      </c>
      <c r="H63">
        <v>50</v>
      </c>
      <c r="I63">
        <v>21.763999999999999</v>
      </c>
      <c r="M63" s="1">
        <f t="shared" si="1"/>
        <v>107421.764</v>
      </c>
    </row>
    <row r="64" spans="1:17" ht="14.5" x14ac:dyDescent="0.35">
      <c r="A64">
        <v>11</v>
      </c>
      <c r="B64">
        <v>2</v>
      </c>
      <c r="C64">
        <v>2</v>
      </c>
      <c r="D64">
        <v>2021</v>
      </c>
      <c r="E64">
        <v>5</v>
      </c>
      <c r="F64">
        <v>1</v>
      </c>
      <c r="G64">
        <v>5</v>
      </c>
      <c r="H64">
        <v>50</v>
      </c>
      <c r="I64">
        <v>28.658000000000001</v>
      </c>
      <c r="M64" s="1">
        <f t="shared" si="1"/>
        <v>107428.658</v>
      </c>
    </row>
    <row r="65" spans="1:18" ht="14.5" x14ac:dyDescent="0.35">
      <c r="A65">
        <v>11</v>
      </c>
      <c r="B65">
        <v>3</v>
      </c>
      <c r="C65">
        <v>2</v>
      </c>
      <c r="D65">
        <v>2021</v>
      </c>
      <c r="E65">
        <v>5</v>
      </c>
      <c r="F65">
        <v>1</v>
      </c>
      <c r="G65">
        <v>5</v>
      </c>
      <c r="H65">
        <v>50</v>
      </c>
      <c r="I65">
        <v>33.686</v>
      </c>
      <c r="M65" s="1">
        <f t="shared" si="1"/>
        <v>107433.686</v>
      </c>
    </row>
    <row r="66" spans="1:18" ht="14.5" x14ac:dyDescent="0.35">
      <c r="A66">
        <v>10</v>
      </c>
      <c r="B66">
        <v>4</v>
      </c>
      <c r="C66">
        <v>1</v>
      </c>
      <c r="D66">
        <v>2021</v>
      </c>
      <c r="E66">
        <v>5</v>
      </c>
      <c r="F66">
        <v>1</v>
      </c>
      <c r="G66">
        <v>5</v>
      </c>
      <c r="H66">
        <v>50</v>
      </c>
      <c r="I66">
        <v>37.728000000000002</v>
      </c>
      <c r="J66">
        <v>5</v>
      </c>
      <c r="K66">
        <v>0</v>
      </c>
      <c r="M66" s="1">
        <f t="shared" si="1"/>
        <v>107437.728</v>
      </c>
      <c r="N66">
        <f>M66-M63</f>
        <v>15.964000000007218</v>
      </c>
      <c r="O66" s="2">
        <v>1</v>
      </c>
    </row>
    <row r="67" spans="1:18" ht="14.5" x14ac:dyDescent="0.35">
      <c r="A67">
        <v>12</v>
      </c>
      <c r="B67">
        <v>0</v>
      </c>
      <c r="C67">
        <v>1</v>
      </c>
      <c r="D67">
        <v>2021</v>
      </c>
      <c r="E67">
        <v>5</v>
      </c>
      <c r="F67">
        <v>1</v>
      </c>
      <c r="G67">
        <v>5</v>
      </c>
      <c r="H67">
        <v>51</v>
      </c>
      <c r="I67">
        <v>1.661</v>
      </c>
      <c r="M67" s="1">
        <f t="shared" si="1"/>
        <v>107461.66099999999</v>
      </c>
      <c r="N67">
        <f>J66*1.3+10</f>
        <v>16.5</v>
      </c>
    </row>
    <row r="68" spans="1:18" ht="14.5" x14ac:dyDescent="0.35">
      <c r="A68">
        <v>12</v>
      </c>
      <c r="B68">
        <v>1</v>
      </c>
      <c r="C68">
        <v>1</v>
      </c>
      <c r="D68">
        <v>2021</v>
      </c>
      <c r="E68">
        <v>5</v>
      </c>
      <c r="F68">
        <v>1</v>
      </c>
      <c r="G68">
        <v>5</v>
      </c>
      <c r="H68">
        <v>51</v>
      </c>
      <c r="I68">
        <v>10.403</v>
      </c>
      <c r="M68" s="1">
        <f t="shared" si="1"/>
        <v>107470.40300000001</v>
      </c>
    </row>
    <row r="69" spans="1:18" ht="14.5" x14ac:dyDescent="0.35">
      <c r="A69">
        <v>12</v>
      </c>
      <c r="B69">
        <v>2</v>
      </c>
      <c r="C69">
        <v>2</v>
      </c>
      <c r="D69">
        <v>2021</v>
      </c>
      <c r="E69">
        <v>5</v>
      </c>
      <c r="F69">
        <v>1</v>
      </c>
      <c r="G69">
        <v>5</v>
      </c>
      <c r="H69">
        <v>51</v>
      </c>
      <c r="I69">
        <v>16.518999999999998</v>
      </c>
      <c r="M69" s="1">
        <f t="shared" si="1"/>
        <v>107476.519</v>
      </c>
    </row>
    <row r="70" spans="1:18" ht="14.5" x14ac:dyDescent="0.35">
      <c r="A70">
        <v>12</v>
      </c>
      <c r="B70">
        <v>3</v>
      </c>
      <c r="C70">
        <v>2</v>
      </c>
      <c r="D70">
        <v>2021</v>
      </c>
      <c r="E70">
        <v>5</v>
      </c>
      <c r="F70">
        <v>1</v>
      </c>
      <c r="G70">
        <v>5</v>
      </c>
      <c r="H70">
        <v>51</v>
      </c>
      <c r="I70">
        <v>24.876999999999999</v>
      </c>
      <c r="M70" s="1">
        <f t="shared" si="1"/>
        <v>107484.87699999999</v>
      </c>
    </row>
    <row r="71" spans="1:18" ht="14.5" x14ac:dyDescent="0.35">
      <c r="A71">
        <v>11</v>
      </c>
      <c r="B71">
        <v>4</v>
      </c>
      <c r="C71">
        <v>0</v>
      </c>
      <c r="D71">
        <v>2021</v>
      </c>
      <c r="E71">
        <v>5</v>
      </c>
      <c r="F71">
        <v>1</v>
      </c>
      <c r="G71">
        <v>5</v>
      </c>
      <c r="H71">
        <v>51</v>
      </c>
      <c r="I71">
        <v>28.861000000000001</v>
      </c>
      <c r="J71">
        <v>8</v>
      </c>
      <c r="K71">
        <v>1</v>
      </c>
      <c r="M71" s="1">
        <f t="shared" si="1"/>
        <v>107488.861</v>
      </c>
      <c r="N71">
        <f>M71-M68</f>
        <v>18.457999999998719</v>
      </c>
      <c r="Q71">
        <v>1</v>
      </c>
    </row>
    <row r="72" spans="1:18" ht="14.5" x14ac:dyDescent="0.35">
      <c r="A72">
        <v>13</v>
      </c>
      <c r="B72">
        <v>0</v>
      </c>
      <c r="C72">
        <v>1</v>
      </c>
      <c r="D72">
        <v>2021</v>
      </c>
      <c r="E72">
        <v>5</v>
      </c>
      <c r="F72">
        <v>1</v>
      </c>
      <c r="G72">
        <v>5</v>
      </c>
      <c r="H72">
        <v>51</v>
      </c>
      <c r="I72">
        <v>53.93</v>
      </c>
      <c r="M72" s="1">
        <f t="shared" si="1"/>
        <v>107513.93</v>
      </c>
      <c r="N72">
        <f>J71*1.3+10</f>
        <v>20.399999999999999</v>
      </c>
    </row>
    <row r="73" spans="1:18" ht="14.5" x14ac:dyDescent="0.35">
      <c r="A73">
        <v>13</v>
      </c>
      <c r="B73">
        <v>1</v>
      </c>
      <c r="C73">
        <v>1</v>
      </c>
      <c r="D73">
        <v>2021</v>
      </c>
      <c r="E73">
        <v>5</v>
      </c>
      <c r="F73">
        <v>1</v>
      </c>
      <c r="G73">
        <v>5</v>
      </c>
      <c r="H73">
        <v>52</v>
      </c>
      <c r="I73">
        <v>9.1820000000000004</v>
      </c>
      <c r="M73" s="1">
        <f t="shared" si="1"/>
        <v>107529.182</v>
      </c>
    </row>
    <row r="74" spans="1:18" ht="14.5" x14ac:dyDescent="0.35">
      <c r="A74">
        <v>13</v>
      </c>
      <c r="B74">
        <v>2</v>
      </c>
      <c r="C74">
        <v>2</v>
      </c>
      <c r="D74">
        <v>2021</v>
      </c>
      <c r="E74">
        <v>5</v>
      </c>
      <c r="F74">
        <v>1</v>
      </c>
      <c r="G74">
        <v>5</v>
      </c>
      <c r="H74">
        <v>52</v>
      </c>
      <c r="I74">
        <v>15.887</v>
      </c>
      <c r="M74" s="1">
        <f t="shared" si="1"/>
        <v>107535.887</v>
      </c>
    </row>
    <row r="75" spans="1:18" ht="14.5" x14ac:dyDescent="0.35">
      <c r="A75">
        <v>13</v>
      </c>
      <c r="B75">
        <v>3</v>
      </c>
      <c r="C75">
        <v>2</v>
      </c>
      <c r="D75">
        <v>2021</v>
      </c>
      <c r="E75">
        <v>5</v>
      </c>
      <c r="F75">
        <v>1</v>
      </c>
      <c r="G75">
        <v>5</v>
      </c>
      <c r="H75">
        <v>52</v>
      </c>
      <c r="I75">
        <v>30.896999999999998</v>
      </c>
      <c r="M75" s="1">
        <f t="shared" si="1"/>
        <v>107550.897</v>
      </c>
      <c r="R75">
        <v>1</v>
      </c>
    </row>
    <row r="76" spans="1:18" ht="14.5" x14ac:dyDescent="0.35">
      <c r="A76">
        <v>13</v>
      </c>
      <c r="B76">
        <v>5</v>
      </c>
      <c r="C76">
        <v>1</v>
      </c>
      <c r="D76">
        <v>2021</v>
      </c>
      <c r="E76">
        <v>5</v>
      </c>
      <c r="F76">
        <v>1</v>
      </c>
      <c r="G76">
        <v>5</v>
      </c>
      <c r="H76">
        <v>52</v>
      </c>
      <c r="I76">
        <v>37.459000000000003</v>
      </c>
      <c r="J76">
        <v>8</v>
      </c>
      <c r="K76">
        <v>1</v>
      </c>
      <c r="M76" s="1">
        <f t="shared" si="1"/>
        <v>107557.459</v>
      </c>
      <c r="N76">
        <f>M76-M73</f>
        <v>28.277000000001863</v>
      </c>
    </row>
    <row r="77" spans="1:18" ht="14.5" x14ac:dyDescent="0.35">
      <c r="A77">
        <v>14</v>
      </c>
      <c r="B77">
        <v>0</v>
      </c>
      <c r="C77">
        <v>0</v>
      </c>
      <c r="D77">
        <v>2021</v>
      </c>
      <c r="E77">
        <v>5</v>
      </c>
      <c r="F77">
        <v>1</v>
      </c>
      <c r="G77">
        <v>5</v>
      </c>
      <c r="H77">
        <v>53</v>
      </c>
      <c r="I77">
        <v>12.435</v>
      </c>
      <c r="M77" s="1">
        <f t="shared" ref="M77:M131" si="2">F77*86400+I77+H77*60+G77*60*60</f>
        <v>107592.435</v>
      </c>
      <c r="N77">
        <f>J76*1.3+10</f>
        <v>20.399999999999999</v>
      </c>
    </row>
    <row r="78" spans="1:18" ht="14.5" x14ac:dyDescent="0.35">
      <c r="A78">
        <v>14</v>
      </c>
      <c r="B78">
        <v>1</v>
      </c>
      <c r="C78">
        <v>0</v>
      </c>
      <c r="D78">
        <v>2021</v>
      </c>
      <c r="E78">
        <v>5</v>
      </c>
      <c r="F78">
        <v>1</v>
      </c>
      <c r="G78">
        <v>5</v>
      </c>
      <c r="H78">
        <v>54</v>
      </c>
      <c r="I78">
        <v>8.2270000000000003</v>
      </c>
      <c r="M78" s="1">
        <f t="shared" si="2"/>
        <v>107648.227</v>
      </c>
    </row>
    <row r="79" spans="1:18" ht="14.5" x14ac:dyDescent="0.35">
      <c r="A79">
        <v>14</v>
      </c>
      <c r="B79">
        <v>2</v>
      </c>
      <c r="C79">
        <v>2</v>
      </c>
      <c r="D79">
        <v>2021</v>
      </c>
      <c r="E79">
        <v>5</v>
      </c>
      <c r="F79">
        <v>1</v>
      </c>
      <c r="G79">
        <v>5</v>
      </c>
      <c r="H79">
        <v>54</v>
      </c>
      <c r="I79">
        <v>27.247</v>
      </c>
      <c r="M79" s="1">
        <f t="shared" si="2"/>
        <v>107667.247</v>
      </c>
    </row>
    <row r="80" spans="1:18" ht="14.5" x14ac:dyDescent="0.35">
      <c r="A80">
        <v>14</v>
      </c>
      <c r="B80">
        <v>3</v>
      </c>
      <c r="C80">
        <v>2</v>
      </c>
      <c r="D80">
        <v>2021</v>
      </c>
      <c r="E80">
        <v>5</v>
      </c>
      <c r="F80">
        <v>1</v>
      </c>
      <c r="G80">
        <v>5</v>
      </c>
      <c r="H80">
        <v>54</v>
      </c>
      <c r="I80">
        <v>32.683</v>
      </c>
      <c r="M80" s="1">
        <f t="shared" si="2"/>
        <v>107672.683</v>
      </c>
    </row>
    <row r="81" spans="1:18" ht="14.5" x14ac:dyDescent="0.35">
      <c r="A81">
        <v>13</v>
      </c>
      <c r="B81">
        <v>4</v>
      </c>
      <c r="C81">
        <v>1</v>
      </c>
      <c r="D81">
        <v>2021</v>
      </c>
      <c r="E81">
        <v>5</v>
      </c>
      <c r="F81">
        <v>1</v>
      </c>
      <c r="G81">
        <v>5</v>
      </c>
      <c r="H81">
        <v>54</v>
      </c>
      <c r="I81">
        <v>36.688000000000002</v>
      </c>
      <c r="J81">
        <v>5</v>
      </c>
      <c r="K81">
        <v>0</v>
      </c>
      <c r="M81" s="1">
        <f t="shared" si="2"/>
        <v>107676.68799999999</v>
      </c>
      <c r="N81">
        <f>M81-M78</f>
        <v>28.460999999995693</v>
      </c>
      <c r="O81" s="2">
        <v>1</v>
      </c>
    </row>
    <row r="82" spans="1:18" ht="14.5" x14ac:dyDescent="0.35">
      <c r="A82">
        <v>15</v>
      </c>
      <c r="B82">
        <v>0</v>
      </c>
      <c r="C82">
        <v>0</v>
      </c>
      <c r="D82">
        <v>2021</v>
      </c>
      <c r="E82">
        <v>5</v>
      </c>
      <c r="F82">
        <v>1</v>
      </c>
      <c r="G82">
        <v>5</v>
      </c>
      <c r="H82">
        <v>55</v>
      </c>
      <c r="I82">
        <v>1.42</v>
      </c>
      <c r="M82" s="1">
        <f t="shared" si="2"/>
        <v>107701.42</v>
      </c>
      <c r="N82">
        <f>J81*1.3+10</f>
        <v>16.5</v>
      </c>
    </row>
    <row r="83" spans="1:18" ht="14.5" x14ac:dyDescent="0.35">
      <c r="A83">
        <v>15</v>
      </c>
      <c r="B83">
        <v>1</v>
      </c>
      <c r="C83">
        <v>0</v>
      </c>
      <c r="D83">
        <v>2021</v>
      </c>
      <c r="E83">
        <v>5</v>
      </c>
      <c r="F83">
        <v>1</v>
      </c>
      <c r="G83">
        <v>5</v>
      </c>
      <c r="H83">
        <v>58</v>
      </c>
      <c r="I83">
        <v>5.4960000000000004</v>
      </c>
      <c r="M83" s="1">
        <f t="shared" si="2"/>
        <v>107885.496</v>
      </c>
    </row>
    <row r="84" spans="1:18" ht="14.5" x14ac:dyDescent="0.35">
      <c r="A84">
        <v>15</v>
      </c>
      <c r="B84">
        <v>2</v>
      </c>
      <c r="C84">
        <v>2</v>
      </c>
      <c r="D84">
        <v>2021</v>
      </c>
      <c r="E84">
        <v>5</v>
      </c>
      <c r="F84">
        <v>1</v>
      </c>
      <c r="G84">
        <v>5</v>
      </c>
      <c r="H84">
        <v>58</v>
      </c>
      <c r="I84">
        <v>15.41</v>
      </c>
      <c r="M84" s="1">
        <f t="shared" si="2"/>
        <v>107895.41</v>
      </c>
    </row>
    <row r="85" spans="1:18" ht="14.5" x14ac:dyDescent="0.35">
      <c r="A85">
        <v>15</v>
      </c>
      <c r="B85">
        <v>3</v>
      </c>
      <c r="C85">
        <v>2</v>
      </c>
      <c r="D85">
        <v>2021</v>
      </c>
      <c r="E85">
        <v>5</v>
      </c>
      <c r="F85">
        <v>1</v>
      </c>
      <c r="G85">
        <v>5</v>
      </c>
      <c r="H85">
        <v>58</v>
      </c>
      <c r="I85">
        <v>27.960999999999999</v>
      </c>
      <c r="M85" s="1">
        <f t="shared" si="2"/>
        <v>107907.961</v>
      </c>
    </row>
    <row r="86" spans="1:18" ht="14.5" x14ac:dyDescent="0.35">
      <c r="A86">
        <v>14</v>
      </c>
      <c r="B86">
        <v>4</v>
      </c>
      <c r="C86">
        <v>1</v>
      </c>
      <c r="D86">
        <v>2021</v>
      </c>
      <c r="E86">
        <v>5</v>
      </c>
      <c r="F86">
        <v>1</v>
      </c>
      <c r="G86">
        <v>5</v>
      </c>
      <c r="H86">
        <v>58</v>
      </c>
      <c r="I86">
        <v>29.677</v>
      </c>
      <c r="J86">
        <v>8</v>
      </c>
      <c r="K86">
        <v>1</v>
      </c>
      <c r="M86" s="1">
        <f t="shared" si="2"/>
        <v>107909.677</v>
      </c>
      <c r="N86">
        <f>M86-M83</f>
        <v>24.180999999996857</v>
      </c>
      <c r="Q86">
        <v>1</v>
      </c>
    </row>
    <row r="87" spans="1:18" ht="14.5" x14ac:dyDescent="0.35">
      <c r="A87">
        <v>16</v>
      </c>
      <c r="B87">
        <v>0</v>
      </c>
      <c r="C87">
        <v>1</v>
      </c>
      <c r="D87">
        <v>2021</v>
      </c>
      <c r="E87">
        <v>5</v>
      </c>
      <c r="F87">
        <v>1</v>
      </c>
      <c r="G87">
        <v>5</v>
      </c>
      <c r="H87">
        <v>58</v>
      </c>
      <c r="I87">
        <v>53.468000000000004</v>
      </c>
      <c r="M87" s="1">
        <f t="shared" si="2"/>
        <v>107933.46799999999</v>
      </c>
      <c r="N87">
        <f>J86*1.3+10</f>
        <v>20.399999999999999</v>
      </c>
    </row>
    <row r="88" spans="1:18" ht="14.5" x14ac:dyDescent="0.35">
      <c r="A88">
        <v>16</v>
      </c>
      <c r="B88">
        <v>1</v>
      </c>
      <c r="C88">
        <v>1</v>
      </c>
      <c r="D88">
        <v>2021</v>
      </c>
      <c r="E88">
        <v>5</v>
      </c>
      <c r="F88">
        <v>1</v>
      </c>
      <c r="G88">
        <v>5</v>
      </c>
      <c r="H88">
        <v>59</v>
      </c>
      <c r="I88">
        <v>37.506</v>
      </c>
      <c r="M88" s="1">
        <f t="shared" si="2"/>
        <v>107977.50599999999</v>
      </c>
    </row>
    <row r="89" spans="1:18" ht="14.5" x14ac:dyDescent="0.35">
      <c r="A89">
        <v>16</v>
      </c>
      <c r="B89">
        <v>2</v>
      </c>
      <c r="C89">
        <v>2</v>
      </c>
      <c r="D89">
        <v>2021</v>
      </c>
      <c r="E89">
        <v>5</v>
      </c>
      <c r="F89">
        <v>1</v>
      </c>
      <c r="G89">
        <v>5</v>
      </c>
      <c r="H89">
        <v>59</v>
      </c>
      <c r="I89">
        <v>51.776000000000003</v>
      </c>
      <c r="M89" s="1">
        <f t="shared" si="2"/>
        <v>107991.776</v>
      </c>
    </row>
    <row r="90" spans="1:18" ht="14.5" x14ac:dyDescent="0.35">
      <c r="A90">
        <v>16</v>
      </c>
      <c r="B90">
        <v>3</v>
      </c>
      <c r="C90">
        <v>2</v>
      </c>
      <c r="D90">
        <v>2021</v>
      </c>
      <c r="E90">
        <v>5</v>
      </c>
      <c r="F90">
        <v>1</v>
      </c>
      <c r="G90">
        <v>5</v>
      </c>
      <c r="H90">
        <v>59</v>
      </c>
      <c r="I90">
        <v>58.811999999999998</v>
      </c>
      <c r="M90" s="1">
        <f t="shared" si="2"/>
        <v>107998.81200000001</v>
      </c>
    </row>
    <row r="91" spans="1:18" ht="14.5" x14ac:dyDescent="0.35">
      <c r="A91">
        <v>15</v>
      </c>
      <c r="B91">
        <v>4</v>
      </c>
      <c r="C91">
        <v>0</v>
      </c>
      <c r="D91">
        <v>2021</v>
      </c>
      <c r="E91">
        <v>5</v>
      </c>
      <c r="F91">
        <v>1</v>
      </c>
      <c r="G91">
        <v>6</v>
      </c>
      <c r="H91">
        <v>0</v>
      </c>
      <c r="I91">
        <v>2.7240000000000002</v>
      </c>
      <c r="J91">
        <v>5</v>
      </c>
      <c r="K91">
        <v>0</v>
      </c>
      <c r="M91" s="1">
        <f t="shared" si="2"/>
        <v>108002.724</v>
      </c>
      <c r="N91">
        <f>M91-M88</f>
        <v>25.218000000008033</v>
      </c>
      <c r="O91" s="2">
        <v>1</v>
      </c>
    </row>
    <row r="92" spans="1:18" ht="14.5" x14ac:dyDescent="0.35">
      <c r="A92">
        <v>17</v>
      </c>
      <c r="B92">
        <v>0</v>
      </c>
      <c r="C92">
        <v>0</v>
      </c>
      <c r="D92">
        <v>2021</v>
      </c>
      <c r="E92">
        <v>5</v>
      </c>
      <c r="F92">
        <v>1</v>
      </c>
      <c r="G92">
        <v>6</v>
      </c>
      <c r="H92">
        <v>0</v>
      </c>
      <c r="I92">
        <v>27.577000000000002</v>
      </c>
      <c r="M92" s="1">
        <f t="shared" si="2"/>
        <v>108027.577</v>
      </c>
      <c r="N92">
        <f>J91*1.3+10</f>
        <v>16.5</v>
      </c>
    </row>
    <row r="93" spans="1:18" ht="14.5" x14ac:dyDescent="0.35">
      <c r="A93">
        <v>17</v>
      </c>
      <c r="B93">
        <v>1</v>
      </c>
      <c r="C93">
        <v>0</v>
      </c>
      <c r="D93">
        <v>2021</v>
      </c>
      <c r="E93">
        <v>5</v>
      </c>
      <c r="F93">
        <v>1</v>
      </c>
      <c r="G93">
        <v>6</v>
      </c>
      <c r="H93">
        <v>0</v>
      </c>
      <c r="I93">
        <v>43.679000000000002</v>
      </c>
      <c r="M93" s="1">
        <f t="shared" si="2"/>
        <v>108043.679</v>
      </c>
    </row>
    <row r="94" spans="1:18" ht="14.5" x14ac:dyDescent="0.35">
      <c r="A94">
        <v>17</v>
      </c>
      <c r="B94">
        <v>2</v>
      </c>
      <c r="C94">
        <v>2</v>
      </c>
      <c r="D94">
        <v>2021</v>
      </c>
      <c r="E94">
        <v>5</v>
      </c>
      <c r="F94">
        <v>1</v>
      </c>
      <c r="G94">
        <v>6</v>
      </c>
      <c r="H94">
        <v>0</v>
      </c>
      <c r="I94">
        <v>48.771000000000001</v>
      </c>
      <c r="M94" s="1">
        <f t="shared" si="2"/>
        <v>108048.77099999999</v>
      </c>
    </row>
    <row r="95" spans="1:18" ht="14.5" x14ac:dyDescent="0.35">
      <c r="A95">
        <v>17</v>
      </c>
      <c r="B95">
        <v>3</v>
      </c>
      <c r="C95">
        <v>2</v>
      </c>
      <c r="D95">
        <v>2021</v>
      </c>
      <c r="E95">
        <v>5</v>
      </c>
      <c r="F95">
        <v>1</v>
      </c>
      <c r="G95">
        <v>6</v>
      </c>
      <c r="H95">
        <v>0</v>
      </c>
      <c r="I95">
        <v>57.174999999999997</v>
      </c>
      <c r="M95" s="1">
        <f t="shared" si="2"/>
        <v>108057.175</v>
      </c>
    </row>
    <row r="96" spans="1:18" ht="14.5" x14ac:dyDescent="0.35">
      <c r="A96">
        <v>17</v>
      </c>
      <c r="B96">
        <v>5</v>
      </c>
      <c r="C96">
        <v>0</v>
      </c>
      <c r="D96">
        <v>2021</v>
      </c>
      <c r="E96">
        <v>5</v>
      </c>
      <c r="F96">
        <v>1</v>
      </c>
      <c r="G96">
        <v>6</v>
      </c>
      <c r="H96">
        <v>1</v>
      </c>
      <c r="I96">
        <v>11.521000000000001</v>
      </c>
      <c r="J96">
        <v>8</v>
      </c>
      <c r="K96">
        <v>1</v>
      </c>
      <c r="M96" s="1">
        <f t="shared" si="2"/>
        <v>108071.52099999999</v>
      </c>
      <c r="N96">
        <f>M96-M93</f>
        <v>27.841999999989639</v>
      </c>
      <c r="R96">
        <v>1</v>
      </c>
    </row>
    <row r="97" spans="1:17" ht="14.5" x14ac:dyDescent="0.35">
      <c r="A97">
        <v>18</v>
      </c>
      <c r="B97">
        <v>0</v>
      </c>
      <c r="C97">
        <v>1</v>
      </c>
      <c r="D97">
        <v>2021</v>
      </c>
      <c r="E97">
        <v>5</v>
      </c>
      <c r="F97">
        <v>1</v>
      </c>
      <c r="G97">
        <v>6</v>
      </c>
      <c r="H97">
        <v>1</v>
      </c>
      <c r="I97">
        <v>46.558999999999997</v>
      </c>
      <c r="M97" s="1">
        <f t="shared" si="2"/>
        <v>108106.55899999999</v>
      </c>
      <c r="N97">
        <f>J96*1.3+10</f>
        <v>20.399999999999999</v>
      </c>
    </row>
    <row r="98" spans="1:17" ht="14.5" x14ac:dyDescent="0.35">
      <c r="A98">
        <v>18</v>
      </c>
      <c r="B98">
        <v>1</v>
      </c>
      <c r="C98">
        <v>1</v>
      </c>
      <c r="D98">
        <v>2021</v>
      </c>
      <c r="E98">
        <v>5</v>
      </c>
      <c r="F98">
        <v>1</v>
      </c>
      <c r="G98">
        <v>6</v>
      </c>
      <c r="H98">
        <v>3</v>
      </c>
      <c r="I98">
        <v>1.901</v>
      </c>
      <c r="M98" s="1">
        <f t="shared" si="2"/>
        <v>108181.901</v>
      </c>
    </row>
    <row r="99" spans="1:17" ht="14.5" x14ac:dyDescent="0.35">
      <c r="A99">
        <v>18</v>
      </c>
      <c r="B99">
        <v>2</v>
      </c>
      <c r="C99">
        <v>2</v>
      </c>
      <c r="D99">
        <v>2021</v>
      </c>
      <c r="E99">
        <v>5</v>
      </c>
      <c r="F99">
        <v>1</v>
      </c>
      <c r="G99">
        <v>6</v>
      </c>
      <c r="H99">
        <v>3</v>
      </c>
      <c r="I99">
        <v>13.548</v>
      </c>
      <c r="M99" s="1">
        <f t="shared" si="2"/>
        <v>108193.548</v>
      </c>
    </row>
    <row r="100" spans="1:17" ht="14.5" x14ac:dyDescent="0.35">
      <c r="A100">
        <v>18</v>
      </c>
      <c r="B100">
        <v>3</v>
      </c>
      <c r="C100">
        <v>2</v>
      </c>
      <c r="D100">
        <v>2021</v>
      </c>
      <c r="E100">
        <v>5</v>
      </c>
      <c r="F100">
        <v>1</v>
      </c>
      <c r="G100">
        <v>6</v>
      </c>
      <c r="H100">
        <v>3</v>
      </c>
      <c r="I100">
        <v>18.988</v>
      </c>
      <c r="M100" s="1">
        <f t="shared" si="2"/>
        <v>108198.988</v>
      </c>
    </row>
    <row r="101" spans="1:17" ht="14.5" x14ac:dyDescent="0.35">
      <c r="A101">
        <v>17</v>
      </c>
      <c r="B101">
        <v>4</v>
      </c>
      <c r="C101">
        <v>0</v>
      </c>
      <c r="D101">
        <v>2021</v>
      </c>
      <c r="E101">
        <v>5</v>
      </c>
      <c r="F101">
        <v>1</v>
      </c>
      <c r="G101">
        <v>6</v>
      </c>
      <c r="H101">
        <v>3</v>
      </c>
      <c r="I101">
        <v>23.736000000000001</v>
      </c>
      <c r="J101">
        <v>5</v>
      </c>
      <c r="K101">
        <v>0</v>
      </c>
      <c r="M101" s="1">
        <f t="shared" si="2"/>
        <v>108203.736</v>
      </c>
      <c r="N101">
        <f>M101-M98</f>
        <v>21.835000000006403</v>
      </c>
      <c r="O101" s="2">
        <v>1</v>
      </c>
    </row>
    <row r="102" spans="1:17" ht="14.5" x14ac:dyDescent="0.35">
      <c r="A102">
        <v>19</v>
      </c>
      <c r="B102">
        <v>0</v>
      </c>
      <c r="C102">
        <v>1</v>
      </c>
      <c r="D102">
        <v>2021</v>
      </c>
      <c r="E102">
        <v>5</v>
      </c>
      <c r="F102">
        <v>1</v>
      </c>
      <c r="G102">
        <v>6</v>
      </c>
      <c r="H102">
        <v>3</v>
      </c>
      <c r="I102">
        <v>48.116</v>
      </c>
      <c r="M102" s="1">
        <f t="shared" si="2"/>
        <v>108228.11599999999</v>
      </c>
      <c r="N102">
        <f>J101*1.3+10</f>
        <v>16.5</v>
      </c>
    </row>
    <row r="103" spans="1:17" ht="14.5" x14ac:dyDescent="0.35">
      <c r="A103">
        <v>19</v>
      </c>
      <c r="B103">
        <v>1</v>
      </c>
      <c r="C103">
        <v>1</v>
      </c>
      <c r="D103">
        <v>2021</v>
      </c>
      <c r="E103">
        <v>5</v>
      </c>
      <c r="F103">
        <v>1</v>
      </c>
      <c r="G103">
        <v>6</v>
      </c>
      <c r="H103">
        <v>5</v>
      </c>
      <c r="I103">
        <v>7.1379999999999999</v>
      </c>
      <c r="M103" s="1">
        <f t="shared" si="2"/>
        <v>108307.13800000001</v>
      </c>
    </row>
    <row r="104" spans="1:17" ht="14.5" x14ac:dyDescent="0.35">
      <c r="A104">
        <v>19</v>
      </c>
      <c r="B104">
        <v>2</v>
      </c>
      <c r="C104">
        <v>2</v>
      </c>
      <c r="D104">
        <v>2021</v>
      </c>
      <c r="E104">
        <v>5</v>
      </c>
      <c r="F104">
        <v>1</v>
      </c>
      <c r="G104">
        <v>6</v>
      </c>
      <c r="H104">
        <v>5</v>
      </c>
      <c r="I104">
        <v>15.547000000000001</v>
      </c>
      <c r="M104" s="1">
        <f t="shared" si="2"/>
        <v>108315.54700000001</v>
      </c>
    </row>
    <row r="105" spans="1:17" ht="14.5" x14ac:dyDescent="0.35">
      <c r="A105">
        <v>19</v>
      </c>
      <c r="B105">
        <v>3</v>
      </c>
      <c r="C105">
        <v>2</v>
      </c>
      <c r="D105">
        <v>2021</v>
      </c>
      <c r="E105">
        <v>5</v>
      </c>
      <c r="F105">
        <v>1</v>
      </c>
      <c r="G105">
        <v>6</v>
      </c>
      <c r="H105">
        <v>5</v>
      </c>
      <c r="I105">
        <v>22.471</v>
      </c>
      <c r="M105" s="1">
        <f t="shared" si="2"/>
        <v>108322.47100000001</v>
      </c>
    </row>
    <row r="106" spans="1:17" ht="14.5" x14ac:dyDescent="0.35">
      <c r="A106">
        <v>19</v>
      </c>
      <c r="B106">
        <v>5</v>
      </c>
      <c r="C106">
        <v>1</v>
      </c>
      <c r="D106">
        <v>2021</v>
      </c>
      <c r="E106">
        <v>5</v>
      </c>
      <c r="F106">
        <v>1</v>
      </c>
      <c r="G106">
        <v>6</v>
      </c>
      <c r="H106">
        <v>5</v>
      </c>
      <c r="I106">
        <v>28.353000000000002</v>
      </c>
      <c r="J106">
        <v>5</v>
      </c>
      <c r="K106">
        <v>0</v>
      </c>
      <c r="M106" s="1">
        <f t="shared" si="2"/>
        <v>108328.353</v>
      </c>
      <c r="N106">
        <f>M106-M103</f>
        <v>21.214999999996508</v>
      </c>
      <c r="P106">
        <v>1</v>
      </c>
    </row>
    <row r="107" spans="1:17" ht="14.5" x14ac:dyDescent="0.35">
      <c r="A107">
        <v>20</v>
      </c>
      <c r="B107">
        <v>0</v>
      </c>
      <c r="C107">
        <v>0</v>
      </c>
      <c r="D107">
        <v>2021</v>
      </c>
      <c r="E107">
        <v>5</v>
      </c>
      <c r="F107">
        <v>1</v>
      </c>
      <c r="G107">
        <v>6</v>
      </c>
      <c r="H107">
        <v>6</v>
      </c>
      <c r="I107">
        <v>3.3340000000000001</v>
      </c>
      <c r="M107" s="1">
        <f t="shared" si="2"/>
        <v>108363.334</v>
      </c>
      <c r="N107">
        <f>J106*1.3+10</f>
        <v>16.5</v>
      </c>
    </row>
    <row r="108" spans="1:17" ht="14.5" x14ac:dyDescent="0.35">
      <c r="A108">
        <v>20</v>
      </c>
      <c r="B108">
        <v>1</v>
      </c>
      <c r="C108">
        <v>0</v>
      </c>
      <c r="D108">
        <v>2021</v>
      </c>
      <c r="E108">
        <v>5</v>
      </c>
      <c r="F108">
        <v>1</v>
      </c>
      <c r="G108">
        <v>6</v>
      </c>
      <c r="H108">
        <v>7</v>
      </c>
      <c r="I108">
        <v>17.25</v>
      </c>
      <c r="M108" s="1">
        <f t="shared" si="2"/>
        <v>108437.25</v>
      </c>
    </row>
    <row r="109" spans="1:17" ht="14.5" x14ac:dyDescent="0.35">
      <c r="A109">
        <v>20</v>
      </c>
      <c r="B109">
        <v>2</v>
      </c>
      <c r="C109">
        <v>2</v>
      </c>
      <c r="D109">
        <v>2021</v>
      </c>
      <c r="E109">
        <v>5</v>
      </c>
      <c r="F109">
        <v>1</v>
      </c>
      <c r="G109">
        <v>6</v>
      </c>
      <c r="H109">
        <v>7</v>
      </c>
      <c r="I109">
        <v>20.129000000000001</v>
      </c>
      <c r="M109" s="1">
        <f t="shared" si="2"/>
        <v>108440.129</v>
      </c>
    </row>
    <row r="110" spans="1:17" ht="14.5" x14ac:dyDescent="0.35">
      <c r="A110">
        <v>20</v>
      </c>
      <c r="B110">
        <v>3</v>
      </c>
      <c r="C110">
        <v>2</v>
      </c>
      <c r="D110">
        <v>2021</v>
      </c>
      <c r="E110">
        <v>5</v>
      </c>
      <c r="F110">
        <v>1</v>
      </c>
      <c r="G110">
        <v>6</v>
      </c>
      <c r="H110">
        <v>7</v>
      </c>
      <c r="I110">
        <v>28.126999999999999</v>
      </c>
      <c r="M110" s="1">
        <f t="shared" si="2"/>
        <v>108448.12699999999</v>
      </c>
    </row>
    <row r="111" spans="1:17" ht="14.5" x14ac:dyDescent="0.35">
      <c r="A111">
        <v>19</v>
      </c>
      <c r="B111">
        <v>4</v>
      </c>
      <c r="C111">
        <v>1</v>
      </c>
      <c r="D111">
        <v>2021</v>
      </c>
      <c r="E111">
        <v>5</v>
      </c>
      <c r="F111">
        <v>1</v>
      </c>
      <c r="G111">
        <v>6</v>
      </c>
      <c r="H111">
        <v>7</v>
      </c>
      <c r="I111">
        <v>34.430999999999997</v>
      </c>
      <c r="J111">
        <v>8</v>
      </c>
      <c r="K111">
        <v>1</v>
      </c>
      <c r="M111" s="1">
        <f t="shared" si="2"/>
        <v>108454.431</v>
      </c>
      <c r="N111">
        <f>M111-M108</f>
        <v>17.180999999996857</v>
      </c>
      <c r="Q111">
        <v>1</v>
      </c>
    </row>
    <row r="112" spans="1:17" ht="14.5" x14ac:dyDescent="0.35">
      <c r="A112">
        <v>21</v>
      </c>
      <c r="B112">
        <v>0</v>
      </c>
      <c r="C112">
        <v>1</v>
      </c>
      <c r="D112">
        <v>2021</v>
      </c>
      <c r="E112">
        <v>5</v>
      </c>
      <c r="F112">
        <v>1</v>
      </c>
      <c r="G112">
        <v>6</v>
      </c>
      <c r="H112">
        <v>7</v>
      </c>
      <c r="I112">
        <v>58.56</v>
      </c>
      <c r="M112" s="1">
        <f t="shared" si="2"/>
        <v>108478.56</v>
      </c>
      <c r="N112">
        <f>J111*1.3+10</f>
        <v>20.399999999999999</v>
      </c>
    </row>
    <row r="113" spans="1:18" ht="14.5" x14ac:dyDescent="0.35">
      <c r="A113">
        <v>21</v>
      </c>
      <c r="B113">
        <v>1</v>
      </c>
      <c r="C113">
        <v>1</v>
      </c>
      <c r="D113">
        <v>2021</v>
      </c>
      <c r="E113">
        <v>5</v>
      </c>
      <c r="F113">
        <v>1</v>
      </c>
      <c r="G113">
        <v>6</v>
      </c>
      <c r="H113">
        <v>7</v>
      </c>
      <c r="I113">
        <v>59.162999999999997</v>
      </c>
      <c r="M113" s="1">
        <f t="shared" si="2"/>
        <v>108479.163</v>
      </c>
    </row>
    <row r="114" spans="1:18" ht="14.5" x14ac:dyDescent="0.35">
      <c r="A114">
        <v>21</v>
      </c>
      <c r="B114">
        <v>2</v>
      </c>
      <c r="C114">
        <v>2</v>
      </c>
      <c r="D114">
        <v>2021</v>
      </c>
      <c r="E114">
        <v>5</v>
      </c>
      <c r="F114">
        <v>1</v>
      </c>
      <c r="G114">
        <v>6</v>
      </c>
      <c r="H114">
        <v>8</v>
      </c>
      <c r="I114">
        <v>7.633</v>
      </c>
      <c r="M114" s="1">
        <f t="shared" si="2"/>
        <v>108487.633</v>
      </c>
    </row>
    <row r="115" spans="1:18" ht="14.5" x14ac:dyDescent="0.35">
      <c r="A115">
        <v>21</v>
      </c>
      <c r="B115">
        <v>3</v>
      </c>
      <c r="C115">
        <v>2</v>
      </c>
      <c r="D115">
        <v>2021</v>
      </c>
      <c r="E115">
        <v>5</v>
      </c>
      <c r="F115">
        <v>1</v>
      </c>
      <c r="G115">
        <v>6</v>
      </c>
      <c r="H115">
        <v>8</v>
      </c>
      <c r="I115">
        <v>17.895</v>
      </c>
      <c r="M115" s="1">
        <f t="shared" si="2"/>
        <v>108497.895</v>
      </c>
    </row>
    <row r="116" spans="1:18" ht="14.5" x14ac:dyDescent="0.35">
      <c r="A116">
        <v>20</v>
      </c>
      <c r="B116">
        <v>4</v>
      </c>
      <c r="C116">
        <v>0</v>
      </c>
      <c r="D116">
        <v>2021</v>
      </c>
      <c r="E116">
        <v>5</v>
      </c>
      <c r="F116">
        <v>1</v>
      </c>
      <c r="G116">
        <v>6</v>
      </c>
      <c r="H116">
        <v>8</v>
      </c>
      <c r="I116">
        <v>24.361000000000001</v>
      </c>
      <c r="J116">
        <v>8</v>
      </c>
      <c r="K116">
        <v>1</v>
      </c>
      <c r="M116" s="1">
        <f t="shared" si="2"/>
        <v>108504.361</v>
      </c>
      <c r="N116">
        <f>M116-M113</f>
        <v>25.198000000003958</v>
      </c>
      <c r="Q116">
        <v>1</v>
      </c>
    </row>
    <row r="117" spans="1:18" ht="14.5" x14ac:dyDescent="0.35">
      <c r="A117">
        <v>22</v>
      </c>
      <c r="B117">
        <v>0</v>
      </c>
      <c r="C117">
        <v>1</v>
      </c>
      <c r="D117">
        <v>2021</v>
      </c>
      <c r="E117">
        <v>5</v>
      </c>
      <c r="F117">
        <v>1</v>
      </c>
      <c r="G117">
        <v>6</v>
      </c>
      <c r="H117">
        <v>8</v>
      </c>
      <c r="I117">
        <v>48.732999999999997</v>
      </c>
      <c r="M117" s="1">
        <f t="shared" si="2"/>
        <v>108528.73299999999</v>
      </c>
      <c r="N117">
        <f>J116*1.3+10</f>
        <v>20.399999999999999</v>
      </c>
    </row>
    <row r="118" spans="1:18" ht="14.5" x14ac:dyDescent="0.35">
      <c r="A118">
        <v>22</v>
      </c>
      <c r="B118">
        <v>1</v>
      </c>
      <c r="C118">
        <v>1</v>
      </c>
      <c r="D118">
        <v>2021</v>
      </c>
      <c r="E118">
        <v>5</v>
      </c>
      <c r="F118">
        <v>1</v>
      </c>
      <c r="G118">
        <v>6</v>
      </c>
      <c r="H118">
        <v>13</v>
      </c>
      <c r="I118">
        <v>33.664999999999999</v>
      </c>
      <c r="M118" s="1">
        <f t="shared" si="2"/>
        <v>108813.66499999999</v>
      </c>
    </row>
    <row r="119" spans="1:18" ht="14.5" x14ac:dyDescent="0.35">
      <c r="A119">
        <v>22</v>
      </c>
      <c r="B119">
        <v>2</v>
      </c>
      <c r="C119">
        <v>2</v>
      </c>
      <c r="D119">
        <v>2021</v>
      </c>
      <c r="E119">
        <v>5</v>
      </c>
      <c r="F119">
        <v>1</v>
      </c>
      <c r="G119">
        <v>6</v>
      </c>
      <c r="H119">
        <v>13</v>
      </c>
      <c r="I119">
        <v>44.14</v>
      </c>
      <c r="M119" s="1">
        <f t="shared" si="2"/>
        <v>108824.14</v>
      </c>
    </row>
    <row r="120" spans="1:18" ht="14.5" x14ac:dyDescent="0.35">
      <c r="A120">
        <v>22</v>
      </c>
      <c r="B120">
        <v>3</v>
      </c>
      <c r="C120">
        <v>2</v>
      </c>
      <c r="D120">
        <v>2021</v>
      </c>
      <c r="E120">
        <v>5</v>
      </c>
      <c r="F120">
        <v>1</v>
      </c>
      <c r="G120">
        <v>6</v>
      </c>
      <c r="H120">
        <v>13</v>
      </c>
      <c r="I120">
        <v>57.59</v>
      </c>
      <c r="M120" s="1">
        <f t="shared" si="2"/>
        <v>108837.59</v>
      </c>
    </row>
    <row r="121" spans="1:18" ht="14.5" x14ac:dyDescent="0.35">
      <c r="A121">
        <v>22</v>
      </c>
      <c r="B121">
        <v>5</v>
      </c>
      <c r="C121">
        <v>1</v>
      </c>
      <c r="D121">
        <v>2021</v>
      </c>
      <c r="E121">
        <v>5</v>
      </c>
      <c r="F121">
        <v>1</v>
      </c>
      <c r="G121">
        <v>6</v>
      </c>
      <c r="H121">
        <v>14</v>
      </c>
      <c r="I121">
        <v>6.7460000000000004</v>
      </c>
      <c r="J121">
        <v>5</v>
      </c>
      <c r="K121">
        <v>0</v>
      </c>
      <c r="M121" s="1">
        <f t="shared" si="2"/>
        <v>108846.746</v>
      </c>
      <c r="N121">
        <f>M121-M118</f>
        <v>33.081000000005588</v>
      </c>
      <c r="P121">
        <v>1</v>
      </c>
    </row>
    <row r="122" spans="1:18" ht="14.5" x14ac:dyDescent="0.35">
      <c r="A122">
        <v>23</v>
      </c>
      <c r="B122">
        <v>0</v>
      </c>
      <c r="C122">
        <v>0</v>
      </c>
      <c r="D122">
        <v>2021</v>
      </c>
      <c r="E122">
        <v>5</v>
      </c>
      <c r="F122">
        <v>1</v>
      </c>
      <c r="G122">
        <v>6</v>
      </c>
      <c r="H122">
        <v>14</v>
      </c>
      <c r="I122">
        <v>41.764000000000003</v>
      </c>
      <c r="M122" s="1">
        <f t="shared" si="2"/>
        <v>108881.764</v>
      </c>
      <c r="N122">
        <f>J121*1.3+10</f>
        <v>16.5</v>
      </c>
    </row>
    <row r="123" spans="1:18" ht="14.5" x14ac:dyDescent="0.35">
      <c r="A123">
        <v>23</v>
      </c>
      <c r="B123">
        <v>1</v>
      </c>
      <c r="C123">
        <v>0</v>
      </c>
      <c r="D123">
        <v>2021</v>
      </c>
      <c r="E123">
        <v>5</v>
      </c>
      <c r="F123">
        <v>1</v>
      </c>
      <c r="G123">
        <v>6</v>
      </c>
      <c r="H123">
        <v>21</v>
      </c>
      <c r="I123">
        <v>38.590000000000003</v>
      </c>
      <c r="M123" s="1">
        <f t="shared" si="2"/>
        <v>109298.59</v>
      </c>
    </row>
    <row r="124" spans="1:18" ht="14.5" x14ac:dyDescent="0.35">
      <c r="A124">
        <v>23</v>
      </c>
      <c r="B124">
        <v>2</v>
      </c>
      <c r="C124">
        <v>2</v>
      </c>
      <c r="D124">
        <v>2021</v>
      </c>
      <c r="E124">
        <v>5</v>
      </c>
      <c r="F124">
        <v>1</v>
      </c>
      <c r="G124">
        <v>6</v>
      </c>
      <c r="H124">
        <v>21</v>
      </c>
      <c r="I124">
        <v>46.304000000000002</v>
      </c>
      <c r="M124" s="1">
        <f t="shared" si="2"/>
        <v>109306.304</v>
      </c>
    </row>
    <row r="125" spans="1:18" ht="14.5" x14ac:dyDescent="0.35">
      <c r="A125">
        <v>23</v>
      </c>
      <c r="B125">
        <v>3</v>
      </c>
      <c r="C125">
        <v>2</v>
      </c>
      <c r="D125">
        <v>2021</v>
      </c>
      <c r="E125">
        <v>5</v>
      </c>
      <c r="F125">
        <v>1</v>
      </c>
      <c r="G125">
        <v>6</v>
      </c>
      <c r="H125">
        <v>21</v>
      </c>
      <c r="I125">
        <v>56.473999999999997</v>
      </c>
      <c r="M125" s="1">
        <f t="shared" si="2"/>
        <v>109316.474</v>
      </c>
    </row>
    <row r="126" spans="1:18" ht="14.5" x14ac:dyDescent="0.35">
      <c r="A126">
        <v>23</v>
      </c>
      <c r="B126">
        <v>5</v>
      </c>
      <c r="C126">
        <v>0</v>
      </c>
      <c r="D126">
        <v>2021</v>
      </c>
      <c r="E126">
        <v>5</v>
      </c>
      <c r="F126">
        <v>1</v>
      </c>
      <c r="G126">
        <v>6</v>
      </c>
      <c r="H126">
        <v>22</v>
      </c>
      <c r="I126">
        <v>1.4339999999999999</v>
      </c>
      <c r="J126">
        <v>8</v>
      </c>
      <c r="K126">
        <v>1</v>
      </c>
      <c r="M126" s="1">
        <f t="shared" si="2"/>
        <v>109321.43399999999</v>
      </c>
      <c r="N126">
        <f>M126-M123</f>
        <v>22.843999999997322</v>
      </c>
      <c r="R126">
        <v>1</v>
      </c>
    </row>
    <row r="127" spans="1:18" ht="14.5" x14ac:dyDescent="0.35">
      <c r="A127">
        <v>24</v>
      </c>
      <c r="B127">
        <v>0</v>
      </c>
      <c r="C127">
        <v>1</v>
      </c>
      <c r="D127">
        <v>2021</v>
      </c>
      <c r="E127">
        <v>5</v>
      </c>
      <c r="F127">
        <v>1</v>
      </c>
      <c r="G127">
        <v>6</v>
      </c>
      <c r="H127">
        <v>22</v>
      </c>
      <c r="I127">
        <v>36.476999999999997</v>
      </c>
      <c r="M127" s="1">
        <f t="shared" si="2"/>
        <v>109356.477</v>
      </c>
      <c r="N127">
        <f>J126*1.3+10</f>
        <v>20.399999999999999</v>
      </c>
    </row>
    <row r="128" spans="1:18" ht="14.5" x14ac:dyDescent="0.35">
      <c r="A128">
        <v>24</v>
      </c>
      <c r="B128">
        <v>1</v>
      </c>
      <c r="C128">
        <v>1</v>
      </c>
      <c r="D128">
        <v>2021</v>
      </c>
      <c r="E128">
        <v>5</v>
      </c>
      <c r="F128">
        <v>1</v>
      </c>
      <c r="G128">
        <v>6</v>
      </c>
      <c r="H128">
        <v>31</v>
      </c>
      <c r="I128">
        <v>7.64</v>
      </c>
      <c r="M128" s="1">
        <f t="shared" si="2"/>
        <v>109867.64</v>
      </c>
    </row>
    <row r="129" spans="1:18" ht="14.5" x14ac:dyDescent="0.35">
      <c r="A129">
        <v>24</v>
      </c>
      <c r="B129">
        <v>2</v>
      </c>
      <c r="C129">
        <v>2</v>
      </c>
      <c r="D129">
        <v>2021</v>
      </c>
      <c r="E129">
        <v>5</v>
      </c>
      <c r="F129">
        <v>1</v>
      </c>
      <c r="G129">
        <v>6</v>
      </c>
      <c r="H129">
        <v>31</v>
      </c>
      <c r="I129">
        <v>17.210999999999999</v>
      </c>
      <c r="M129" s="1">
        <f t="shared" si="2"/>
        <v>109877.211</v>
      </c>
    </row>
    <row r="130" spans="1:18" ht="14.5" x14ac:dyDescent="0.35">
      <c r="A130">
        <v>24</v>
      </c>
      <c r="B130">
        <v>3</v>
      </c>
      <c r="C130">
        <v>2</v>
      </c>
      <c r="D130">
        <v>2021</v>
      </c>
      <c r="E130">
        <v>5</v>
      </c>
      <c r="F130">
        <v>1</v>
      </c>
      <c r="G130">
        <v>6</v>
      </c>
      <c r="H130">
        <v>31</v>
      </c>
      <c r="I130">
        <v>29.292999999999999</v>
      </c>
      <c r="M130" s="1">
        <f t="shared" si="2"/>
        <v>109889.29300000001</v>
      </c>
    </row>
    <row r="131" spans="1:18" ht="14.5" x14ac:dyDescent="0.35">
      <c r="A131">
        <v>24</v>
      </c>
      <c r="B131">
        <v>5</v>
      </c>
      <c r="C131">
        <v>1</v>
      </c>
      <c r="D131">
        <v>2021</v>
      </c>
      <c r="E131">
        <v>5</v>
      </c>
      <c r="F131">
        <v>1</v>
      </c>
      <c r="G131">
        <v>6</v>
      </c>
      <c r="H131">
        <v>31</v>
      </c>
      <c r="I131">
        <v>33.807000000000002</v>
      </c>
      <c r="J131">
        <v>8</v>
      </c>
      <c r="K131">
        <v>1</v>
      </c>
      <c r="M131" s="1">
        <f t="shared" si="2"/>
        <v>109893.807</v>
      </c>
      <c r="N131">
        <f>M131-M128</f>
        <v>26.167000000001281</v>
      </c>
      <c r="R131">
        <v>1</v>
      </c>
    </row>
    <row r="132" spans="1:18" ht="14.5" x14ac:dyDescent="0.35">
      <c r="A132">
        <v>25</v>
      </c>
      <c r="B132">
        <v>0</v>
      </c>
      <c r="C132">
        <v>1</v>
      </c>
      <c r="D132">
        <v>2021</v>
      </c>
      <c r="E132">
        <v>5</v>
      </c>
      <c r="F132">
        <v>1</v>
      </c>
      <c r="G132">
        <v>6</v>
      </c>
      <c r="H132">
        <v>32</v>
      </c>
      <c r="I132">
        <v>8.8569999999999993</v>
      </c>
      <c r="M132" s="1">
        <f>F132*86400+I132+H132*60+G132*60*60</f>
        <v>109928.857</v>
      </c>
      <c r="N132">
        <f>J131*1.3+10</f>
        <v>20.399999999999999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F146-BA4F-4905-A773-3153B52AF73C}">
  <dimension ref="A4:S132"/>
  <sheetViews>
    <sheetView tabSelected="1" topLeftCell="A11" workbookViewId="0">
      <pane ySplit="525" activePane="bottomLeft"/>
      <selection activeCell="S1" sqref="S1:S1048576"/>
      <selection pane="bottomLeft" activeCell="F8" sqref="F8"/>
    </sheetView>
  </sheetViews>
  <sheetFormatPr defaultRowHeight="13" x14ac:dyDescent="0.2"/>
  <cols>
    <col min="15" max="15" width="8.7265625" style="2"/>
    <col min="19" max="19" width="8.7265625" style="2"/>
  </cols>
  <sheetData>
    <row r="4" spans="1:18" x14ac:dyDescent="0.2">
      <c r="G4">
        <f>5*1.3+10</f>
        <v>16.5</v>
      </c>
      <c r="H4">
        <f>8*1.3+10</f>
        <v>20.399999999999999</v>
      </c>
    </row>
    <row r="7" spans="1:18" x14ac:dyDescent="0.2">
      <c r="N7" t="s">
        <v>16</v>
      </c>
      <c r="O7" s="2">
        <f>SUM(O12:O132)</f>
        <v>1</v>
      </c>
      <c r="P7">
        <f t="shared" ref="P7:R7" si="0">SUM(P12:P132)</f>
        <v>0</v>
      </c>
      <c r="Q7">
        <f t="shared" si="0"/>
        <v>3</v>
      </c>
      <c r="R7">
        <f t="shared" si="0"/>
        <v>0</v>
      </c>
    </row>
    <row r="9" spans="1:18" x14ac:dyDescent="0.2">
      <c r="A9">
        <v>0</v>
      </c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  <c r="I9">
        <v>8</v>
      </c>
      <c r="J9">
        <v>9</v>
      </c>
      <c r="K9">
        <v>10</v>
      </c>
    </row>
    <row r="10" spans="1:18" x14ac:dyDescent="0.2">
      <c r="O10" s="2" t="s">
        <v>12</v>
      </c>
      <c r="Q10" t="s">
        <v>15</v>
      </c>
    </row>
    <row r="11" spans="1:18" x14ac:dyDescent="0.2">
      <c r="A11" t="s">
        <v>0</v>
      </c>
      <c r="B11" t="s">
        <v>1</v>
      </c>
      <c r="C11" t="s">
        <v>2</v>
      </c>
      <c r="D11" t="s">
        <v>4</v>
      </c>
      <c r="E11" t="s">
        <v>5</v>
      </c>
      <c r="F11" t="s">
        <v>6</v>
      </c>
      <c r="G11" t="s">
        <v>7</v>
      </c>
      <c r="H11" t="s">
        <v>3</v>
      </c>
      <c r="I11" t="s">
        <v>8</v>
      </c>
      <c r="J11" t="s">
        <v>9</v>
      </c>
      <c r="K11" t="s">
        <v>10</v>
      </c>
      <c r="M11" t="s">
        <v>8</v>
      </c>
      <c r="N11" t="s">
        <v>11</v>
      </c>
      <c r="O11" s="2" t="s">
        <v>13</v>
      </c>
      <c r="P11" t="s">
        <v>14</v>
      </c>
      <c r="Q11" t="s">
        <v>13</v>
      </c>
      <c r="R11" t="s">
        <v>14</v>
      </c>
    </row>
    <row r="12" spans="1:18" ht="14.5" x14ac:dyDescent="0.35">
      <c r="A12">
        <v>1</v>
      </c>
      <c r="B12">
        <v>0</v>
      </c>
      <c r="C12">
        <v>1</v>
      </c>
      <c r="D12">
        <v>2021</v>
      </c>
      <c r="E12">
        <v>5</v>
      </c>
      <c r="F12">
        <v>1</v>
      </c>
      <c r="G12">
        <v>0</v>
      </c>
      <c r="H12">
        <v>0</v>
      </c>
      <c r="I12">
        <v>25.347999999999999</v>
      </c>
      <c r="M12" s="1">
        <f>F12*86400+I12+H12*60+G12*60*60</f>
        <v>86425.347999999998</v>
      </c>
    </row>
    <row r="13" spans="1:18" ht="14.5" x14ac:dyDescent="0.35">
      <c r="A13">
        <v>1</v>
      </c>
      <c r="B13">
        <v>1</v>
      </c>
      <c r="C13">
        <v>1</v>
      </c>
      <c r="D13">
        <v>2021</v>
      </c>
      <c r="E13">
        <v>5</v>
      </c>
      <c r="F13">
        <v>1</v>
      </c>
      <c r="G13">
        <v>0</v>
      </c>
      <c r="H13">
        <v>0</v>
      </c>
      <c r="I13">
        <v>46.453000000000003</v>
      </c>
      <c r="M13" s="1">
        <f t="shared" ref="M13:M76" si="1">F13*86400+I13+H13*60+G13*60*60</f>
        <v>86446.452999999994</v>
      </c>
    </row>
    <row r="14" spans="1:18" ht="14.5" x14ac:dyDescent="0.35">
      <c r="A14">
        <v>1</v>
      </c>
      <c r="B14">
        <v>2</v>
      </c>
      <c r="C14">
        <v>2</v>
      </c>
      <c r="D14">
        <v>2021</v>
      </c>
      <c r="E14">
        <v>5</v>
      </c>
      <c r="F14">
        <v>1</v>
      </c>
      <c r="G14">
        <v>0</v>
      </c>
      <c r="H14">
        <v>0</v>
      </c>
      <c r="I14">
        <v>51.76</v>
      </c>
      <c r="M14" s="1">
        <f t="shared" si="1"/>
        <v>86451.76</v>
      </c>
    </row>
    <row r="15" spans="1:18" ht="14.5" x14ac:dyDescent="0.35">
      <c r="A15">
        <v>1</v>
      </c>
      <c r="B15">
        <v>3</v>
      </c>
      <c r="C15">
        <v>2</v>
      </c>
      <c r="D15">
        <v>2021</v>
      </c>
      <c r="E15">
        <v>5</v>
      </c>
      <c r="F15">
        <v>1</v>
      </c>
      <c r="G15">
        <v>0</v>
      </c>
      <c r="H15">
        <v>1</v>
      </c>
      <c r="I15">
        <v>10.317</v>
      </c>
      <c r="M15" s="1">
        <f t="shared" si="1"/>
        <v>86470.316999999995</v>
      </c>
    </row>
    <row r="16" spans="1:18" ht="14.5" x14ac:dyDescent="0.35">
      <c r="A16">
        <v>1</v>
      </c>
      <c r="B16">
        <v>5</v>
      </c>
      <c r="C16">
        <v>1</v>
      </c>
      <c r="D16">
        <v>2021</v>
      </c>
      <c r="E16">
        <v>5</v>
      </c>
      <c r="F16">
        <v>1</v>
      </c>
      <c r="G16">
        <v>0</v>
      </c>
      <c r="H16">
        <v>1</v>
      </c>
      <c r="I16">
        <v>21.2</v>
      </c>
      <c r="J16">
        <v>5</v>
      </c>
      <c r="K16">
        <v>0</v>
      </c>
      <c r="M16" s="1">
        <f t="shared" si="1"/>
        <v>86481.2</v>
      </c>
      <c r="N16">
        <f>M16-M13</f>
        <v>34.747000000003027</v>
      </c>
    </row>
    <row r="17" spans="1:14" ht="14.5" x14ac:dyDescent="0.35">
      <c r="A17">
        <v>2</v>
      </c>
      <c r="B17">
        <v>0</v>
      </c>
      <c r="C17">
        <v>1</v>
      </c>
      <c r="D17">
        <v>2021</v>
      </c>
      <c r="E17">
        <v>5</v>
      </c>
      <c r="F17">
        <v>1</v>
      </c>
      <c r="G17">
        <v>0</v>
      </c>
      <c r="H17">
        <v>1</v>
      </c>
      <c r="I17">
        <v>56.58</v>
      </c>
      <c r="M17" s="1">
        <f t="shared" si="1"/>
        <v>86516.58</v>
      </c>
      <c r="N17">
        <f>J16*1.3+10</f>
        <v>16.5</v>
      </c>
    </row>
    <row r="18" spans="1:14" ht="14.5" x14ac:dyDescent="0.35">
      <c r="A18">
        <v>2</v>
      </c>
      <c r="B18">
        <v>1</v>
      </c>
      <c r="C18">
        <v>1</v>
      </c>
      <c r="D18">
        <v>2021</v>
      </c>
      <c r="E18">
        <v>5</v>
      </c>
      <c r="F18">
        <v>1</v>
      </c>
      <c r="G18">
        <v>0</v>
      </c>
      <c r="H18">
        <v>3</v>
      </c>
      <c r="I18">
        <v>22.276</v>
      </c>
      <c r="M18" s="1">
        <f t="shared" si="1"/>
        <v>86602.275999999998</v>
      </c>
    </row>
    <row r="19" spans="1:14" ht="14.5" x14ac:dyDescent="0.35">
      <c r="A19">
        <v>2</v>
      </c>
      <c r="B19">
        <v>2</v>
      </c>
      <c r="C19">
        <v>2</v>
      </c>
      <c r="D19">
        <v>2021</v>
      </c>
      <c r="E19">
        <v>5</v>
      </c>
      <c r="F19">
        <v>1</v>
      </c>
      <c r="G19">
        <v>3</v>
      </c>
      <c r="H19">
        <v>3</v>
      </c>
      <c r="I19">
        <v>53.832999999999998</v>
      </c>
      <c r="M19" s="1">
        <f t="shared" si="1"/>
        <v>97433.832999999999</v>
      </c>
    </row>
    <row r="20" spans="1:14" ht="14.5" x14ac:dyDescent="0.35">
      <c r="A20">
        <v>2</v>
      </c>
      <c r="B20">
        <v>3</v>
      </c>
      <c r="C20">
        <v>2</v>
      </c>
      <c r="D20">
        <v>2021</v>
      </c>
      <c r="E20">
        <v>5</v>
      </c>
      <c r="F20">
        <v>1</v>
      </c>
      <c r="G20">
        <v>3</v>
      </c>
      <c r="H20">
        <v>54</v>
      </c>
      <c r="I20">
        <v>7.9260000000000002</v>
      </c>
      <c r="M20" s="1">
        <f t="shared" si="1"/>
        <v>100447.92600000001</v>
      </c>
    </row>
    <row r="21" spans="1:14" ht="14.5" x14ac:dyDescent="0.35">
      <c r="A21">
        <v>2</v>
      </c>
      <c r="B21">
        <v>5</v>
      </c>
      <c r="C21">
        <v>1</v>
      </c>
      <c r="D21">
        <v>2021</v>
      </c>
      <c r="E21">
        <v>5</v>
      </c>
      <c r="F21">
        <v>1</v>
      </c>
      <c r="G21">
        <v>3</v>
      </c>
      <c r="H21">
        <v>54</v>
      </c>
      <c r="I21">
        <v>19.425999999999998</v>
      </c>
      <c r="J21">
        <v>8</v>
      </c>
      <c r="K21">
        <v>1</v>
      </c>
      <c r="M21" s="1">
        <f t="shared" si="1"/>
        <v>100459.42600000001</v>
      </c>
      <c r="N21">
        <f>M21-M18</f>
        <v>13857.150000000009</v>
      </c>
    </row>
    <row r="22" spans="1:14" ht="14.5" x14ac:dyDescent="0.35">
      <c r="A22">
        <v>3</v>
      </c>
      <c r="B22">
        <v>0</v>
      </c>
      <c r="C22">
        <v>0</v>
      </c>
      <c r="D22">
        <v>2021</v>
      </c>
      <c r="E22">
        <v>5</v>
      </c>
      <c r="F22">
        <v>1</v>
      </c>
      <c r="G22">
        <v>3</v>
      </c>
      <c r="H22">
        <v>54</v>
      </c>
      <c r="I22">
        <v>54.427999999999997</v>
      </c>
      <c r="M22" s="1">
        <f t="shared" si="1"/>
        <v>100494.428</v>
      </c>
      <c r="N22">
        <f>J21*1.3+10</f>
        <v>20.399999999999999</v>
      </c>
    </row>
    <row r="23" spans="1:14" ht="14.5" x14ac:dyDescent="0.35">
      <c r="A23">
        <v>3</v>
      </c>
      <c r="B23">
        <v>1</v>
      </c>
      <c r="C23">
        <v>0</v>
      </c>
      <c r="D23">
        <v>2021</v>
      </c>
      <c r="E23">
        <v>5</v>
      </c>
      <c r="F23">
        <v>1</v>
      </c>
      <c r="G23">
        <v>3</v>
      </c>
      <c r="H23">
        <v>56</v>
      </c>
      <c r="I23">
        <v>1.7929999999999999</v>
      </c>
      <c r="M23" s="1">
        <f t="shared" si="1"/>
        <v>100561.79300000001</v>
      </c>
    </row>
    <row r="24" spans="1:14" ht="14.5" x14ac:dyDescent="0.35">
      <c r="A24">
        <v>3</v>
      </c>
      <c r="B24">
        <v>2</v>
      </c>
      <c r="C24">
        <v>2</v>
      </c>
      <c r="D24">
        <v>2021</v>
      </c>
      <c r="E24">
        <v>5</v>
      </c>
      <c r="F24">
        <v>1</v>
      </c>
      <c r="G24">
        <v>4</v>
      </c>
      <c r="H24">
        <v>1</v>
      </c>
      <c r="I24">
        <v>39.232999999999997</v>
      </c>
      <c r="M24" s="1">
        <f t="shared" si="1"/>
        <v>100899.23299999999</v>
      </c>
    </row>
    <row r="25" spans="1:14" ht="14.5" x14ac:dyDescent="0.35">
      <c r="A25">
        <v>3</v>
      </c>
      <c r="B25">
        <v>3</v>
      </c>
      <c r="C25">
        <v>2</v>
      </c>
      <c r="D25">
        <v>2021</v>
      </c>
      <c r="E25">
        <v>5</v>
      </c>
      <c r="F25">
        <v>1</v>
      </c>
      <c r="G25">
        <v>4</v>
      </c>
      <c r="H25">
        <v>31</v>
      </c>
      <c r="I25">
        <v>9.4540000000000006</v>
      </c>
      <c r="M25" s="1">
        <f t="shared" si="1"/>
        <v>102669.454</v>
      </c>
    </row>
    <row r="26" spans="1:14" ht="14.5" x14ac:dyDescent="0.35">
      <c r="A26">
        <v>3</v>
      </c>
      <c r="B26">
        <v>5</v>
      </c>
      <c r="C26">
        <v>0</v>
      </c>
      <c r="D26">
        <v>2021</v>
      </c>
      <c r="E26">
        <v>5</v>
      </c>
      <c r="F26">
        <v>1</v>
      </c>
      <c r="G26">
        <v>4</v>
      </c>
      <c r="H26">
        <v>36</v>
      </c>
      <c r="I26">
        <v>31.437999999999999</v>
      </c>
      <c r="J26">
        <v>8</v>
      </c>
      <c r="K26">
        <v>1</v>
      </c>
      <c r="M26" s="1">
        <f t="shared" si="1"/>
        <v>102991.43799999999</v>
      </c>
      <c r="N26">
        <f>M26-M23</f>
        <v>2429.6449999999895</v>
      </c>
    </row>
    <row r="27" spans="1:14" ht="14.5" x14ac:dyDescent="0.35">
      <c r="A27">
        <v>4</v>
      </c>
      <c r="B27">
        <v>0</v>
      </c>
      <c r="C27">
        <v>1</v>
      </c>
      <c r="D27">
        <v>2021</v>
      </c>
      <c r="E27">
        <v>5</v>
      </c>
      <c r="F27">
        <v>1</v>
      </c>
      <c r="G27">
        <v>4</v>
      </c>
      <c r="H27">
        <v>37</v>
      </c>
      <c r="I27">
        <v>6.4180000000000001</v>
      </c>
      <c r="M27" s="1">
        <f t="shared" si="1"/>
        <v>103026.41800000001</v>
      </c>
      <c r="N27">
        <f>J26*1.3+10</f>
        <v>20.399999999999999</v>
      </c>
    </row>
    <row r="28" spans="1:14" ht="14.5" x14ac:dyDescent="0.35">
      <c r="A28">
        <v>4</v>
      </c>
      <c r="B28">
        <v>1</v>
      </c>
      <c r="C28">
        <v>1</v>
      </c>
      <c r="D28">
        <v>2021</v>
      </c>
      <c r="E28">
        <v>5</v>
      </c>
      <c r="F28">
        <v>1</v>
      </c>
      <c r="G28">
        <v>4</v>
      </c>
      <c r="H28">
        <v>37</v>
      </c>
      <c r="I28">
        <v>43.222999999999999</v>
      </c>
      <c r="M28" s="1">
        <f t="shared" si="1"/>
        <v>103063.223</v>
      </c>
    </row>
    <row r="29" spans="1:14" ht="14.5" x14ac:dyDescent="0.35">
      <c r="A29">
        <v>4</v>
      </c>
      <c r="B29">
        <v>2</v>
      </c>
      <c r="C29">
        <v>2</v>
      </c>
      <c r="D29">
        <v>2021</v>
      </c>
      <c r="E29">
        <v>5</v>
      </c>
      <c r="F29">
        <v>1</v>
      </c>
      <c r="G29">
        <v>4</v>
      </c>
      <c r="H29">
        <v>37</v>
      </c>
      <c r="I29">
        <v>49.185000000000002</v>
      </c>
      <c r="M29" s="1">
        <f t="shared" si="1"/>
        <v>103069.185</v>
      </c>
    </row>
    <row r="30" spans="1:14" ht="14.5" x14ac:dyDescent="0.35">
      <c r="A30">
        <v>4</v>
      </c>
      <c r="B30">
        <v>3</v>
      </c>
      <c r="C30">
        <v>2</v>
      </c>
      <c r="D30">
        <v>2021</v>
      </c>
      <c r="E30">
        <v>5</v>
      </c>
      <c r="F30">
        <v>1</v>
      </c>
      <c r="G30">
        <v>5</v>
      </c>
      <c r="H30">
        <v>23</v>
      </c>
      <c r="I30">
        <v>16.565999999999999</v>
      </c>
      <c r="M30" s="1">
        <f t="shared" si="1"/>
        <v>105796.56600000001</v>
      </c>
    </row>
    <row r="31" spans="1:14" ht="14.5" x14ac:dyDescent="0.35">
      <c r="A31">
        <v>4</v>
      </c>
      <c r="B31">
        <v>5</v>
      </c>
      <c r="C31">
        <v>1</v>
      </c>
      <c r="D31">
        <v>2021</v>
      </c>
      <c r="E31">
        <v>5</v>
      </c>
      <c r="F31">
        <v>1</v>
      </c>
      <c r="G31">
        <v>5</v>
      </c>
      <c r="H31">
        <v>23</v>
      </c>
      <c r="I31">
        <v>29.181999999999999</v>
      </c>
      <c r="J31">
        <v>5</v>
      </c>
      <c r="K31">
        <v>0</v>
      </c>
      <c r="M31" s="1">
        <f t="shared" si="1"/>
        <v>105809.182</v>
      </c>
      <c r="N31">
        <f>M31-M28</f>
        <v>2745.9590000000026</v>
      </c>
    </row>
    <row r="32" spans="1:14" ht="14.5" x14ac:dyDescent="0.35">
      <c r="A32">
        <v>5</v>
      </c>
      <c r="B32">
        <v>0</v>
      </c>
      <c r="C32">
        <v>1</v>
      </c>
      <c r="D32">
        <v>2021</v>
      </c>
      <c r="E32">
        <v>5</v>
      </c>
      <c r="F32">
        <v>1</v>
      </c>
      <c r="G32">
        <v>5</v>
      </c>
      <c r="H32">
        <v>24</v>
      </c>
      <c r="I32">
        <v>4.1509999999999998</v>
      </c>
      <c r="M32" s="1">
        <f t="shared" si="1"/>
        <v>105844.151</v>
      </c>
      <c r="N32">
        <f>J31*1.3+10</f>
        <v>16.5</v>
      </c>
    </row>
    <row r="33" spans="1:14" ht="14.5" x14ac:dyDescent="0.35">
      <c r="A33">
        <v>5</v>
      </c>
      <c r="B33">
        <v>1</v>
      </c>
      <c r="C33">
        <v>1</v>
      </c>
      <c r="D33">
        <v>2021</v>
      </c>
      <c r="E33">
        <v>5</v>
      </c>
      <c r="F33">
        <v>1</v>
      </c>
      <c r="G33">
        <v>5</v>
      </c>
      <c r="H33">
        <v>32</v>
      </c>
      <c r="I33">
        <v>51.999000000000002</v>
      </c>
      <c r="M33" s="1">
        <f t="shared" si="1"/>
        <v>106371.999</v>
      </c>
    </row>
    <row r="34" spans="1:14" ht="14.5" x14ac:dyDescent="0.35">
      <c r="A34">
        <v>5</v>
      </c>
      <c r="B34">
        <v>2</v>
      </c>
      <c r="C34">
        <v>2</v>
      </c>
      <c r="D34">
        <v>2021</v>
      </c>
      <c r="E34">
        <v>5</v>
      </c>
      <c r="F34">
        <v>1</v>
      </c>
      <c r="G34">
        <v>5</v>
      </c>
      <c r="H34">
        <v>34</v>
      </c>
      <c r="I34">
        <v>20.326000000000001</v>
      </c>
      <c r="M34" s="1">
        <f t="shared" si="1"/>
        <v>106460.326</v>
      </c>
    </row>
    <row r="35" spans="1:14" ht="14.5" x14ac:dyDescent="0.35">
      <c r="A35">
        <v>5</v>
      </c>
      <c r="B35">
        <v>3</v>
      </c>
      <c r="C35">
        <v>2</v>
      </c>
      <c r="D35">
        <v>2021</v>
      </c>
      <c r="E35">
        <v>5</v>
      </c>
      <c r="F35">
        <v>1</v>
      </c>
      <c r="G35">
        <v>5</v>
      </c>
      <c r="H35">
        <v>34</v>
      </c>
      <c r="I35">
        <v>25.991</v>
      </c>
      <c r="M35" s="1">
        <f t="shared" si="1"/>
        <v>106465.99099999999</v>
      </c>
    </row>
    <row r="36" spans="1:14" ht="14.5" x14ac:dyDescent="0.35">
      <c r="A36">
        <v>4</v>
      </c>
      <c r="B36">
        <v>4</v>
      </c>
      <c r="C36">
        <v>0</v>
      </c>
      <c r="D36">
        <v>2021</v>
      </c>
      <c r="E36">
        <v>5</v>
      </c>
      <c r="F36">
        <v>1</v>
      </c>
      <c r="G36">
        <v>5</v>
      </c>
      <c r="H36">
        <v>34</v>
      </c>
      <c r="I36">
        <v>37.694000000000003</v>
      </c>
      <c r="J36">
        <v>5</v>
      </c>
      <c r="K36">
        <v>0</v>
      </c>
      <c r="M36" s="1">
        <f t="shared" si="1"/>
        <v>106477.694</v>
      </c>
      <c r="N36">
        <f>M36-M33</f>
        <v>105.69500000000698</v>
      </c>
    </row>
    <row r="37" spans="1:14" ht="14.5" x14ac:dyDescent="0.35">
      <c r="A37">
        <v>6</v>
      </c>
      <c r="B37">
        <v>0</v>
      </c>
      <c r="C37">
        <v>0</v>
      </c>
      <c r="D37">
        <v>2021</v>
      </c>
      <c r="E37">
        <v>5</v>
      </c>
      <c r="F37">
        <v>1</v>
      </c>
      <c r="G37">
        <v>5</v>
      </c>
      <c r="H37">
        <v>35</v>
      </c>
      <c r="I37">
        <v>1.9219999999999999</v>
      </c>
      <c r="M37" s="1">
        <f t="shared" si="1"/>
        <v>106501.92200000001</v>
      </c>
      <c r="N37">
        <f>J36*1.3+10</f>
        <v>16.5</v>
      </c>
    </row>
    <row r="38" spans="1:14" ht="14.5" x14ac:dyDescent="0.35">
      <c r="A38">
        <v>6</v>
      </c>
      <c r="B38">
        <v>1</v>
      </c>
      <c r="C38">
        <v>0</v>
      </c>
      <c r="D38">
        <v>2021</v>
      </c>
      <c r="E38">
        <v>5</v>
      </c>
      <c r="F38">
        <v>1</v>
      </c>
      <c r="G38">
        <v>5</v>
      </c>
      <c r="H38">
        <v>35</v>
      </c>
      <c r="I38">
        <v>13.284000000000001</v>
      </c>
      <c r="M38" s="1">
        <f t="shared" si="1"/>
        <v>106513.284</v>
      </c>
    </row>
    <row r="39" spans="1:14" ht="14.5" x14ac:dyDescent="0.35">
      <c r="A39">
        <v>6</v>
      </c>
      <c r="B39">
        <v>2</v>
      </c>
      <c r="C39">
        <v>2</v>
      </c>
      <c r="D39">
        <v>2021</v>
      </c>
      <c r="E39">
        <v>5</v>
      </c>
      <c r="F39">
        <v>1</v>
      </c>
      <c r="G39">
        <v>5</v>
      </c>
      <c r="H39">
        <v>35</v>
      </c>
      <c r="I39">
        <v>22.439</v>
      </c>
      <c r="M39" s="1">
        <f t="shared" si="1"/>
        <v>106522.439</v>
      </c>
    </row>
    <row r="40" spans="1:14" ht="14.5" x14ac:dyDescent="0.35">
      <c r="A40">
        <v>6</v>
      </c>
      <c r="B40">
        <v>3</v>
      </c>
      <c r="C40">
        <v>2</v>
      </c>
      <c r="D40">
        <v>2021</v>
      </c>
      <c r="E40">
        <v>5</v>
      </c>
      <c r="F40">
        <v>1</v>
      </c>
      <c r="G40">
        <v>5</v>
      </c>
      <c r="H40">
        <v>35</v>
      </c>
      <c r="I40">
        <v>33.859000000000002</v>
      </c>
      <c r="M40" s="1">
        <f t="shared" si="1"/>
        <v>106533.859</v>
      </c>
    </row>
    <row r="41" spans="1:14" ht="14.5" x14ac:dyDescent="0.35">
      <c r="A41">
        <v>6</v>
      </c>
      <c r="B41">
        <v>5</v>
      </c>
      <c r="C41">
        <v>0</v>
      </c>
      <c r="D41">
        <v>2021</v>
      </c>
      <c r="E41">
        <v>5</v>
      </c>
      <c r="F41">
        <v>1</v>
      </c>
      <c r="G41">
        <v>5</v>
      </c>
      <c r="H41">
        <v>35</v>
      </c>
      <c r="I41">
        <v>37.283999999999999</v>
      </c>
      <c r="J41">
        <v>8</v>
      </c>
      <c r="K41">
        <v>1</v>
      </c>
      <c r="M41" s="1">
        <f t="shared" si="1"/>
        <v>106537.284</v>
      </c>
      <c r="N41">
        <f>M41-M38</f>
        <v>24</v>
      </c>
    </row>
    <row r="42" spans="1:14" ht="14.5" x14ac:dyDescent="0.35">
      <c r="A42">
        <v>7</v>
      </c>
      <c r="B42">
        <v>0</v>
      </c>
      <c r="C42">
        <v>0</v>
      </c>
      <c r="D42">
        <v>2021</v>
      </c>
      <c r="E42">
        <v>5</v>
      </c>
      <c r="F42">
        <v>1</v>
      </c>
      <c r="G42">
        <v>5</v>
      </c>
      <c r="H42">
        <v>36</v>
      </c>
      <c r="I42">
        <v>12.215999999999999</v>
      </c>
      <c r="M42" s="1">
        <f t="shared" si="1"/>
        <v>106572.216</v>
      </c>
      <c r="N42">
        <f>J41*1.3+10</f>
        <v>20.399999999999999</v>
      </c>
    </row>
    <row r="43" spans="1:14" ht="14.5" x14ac:dyDescent="0.35">
      <c r="A43">
        <v>7</v>
      </c>
      <c r="B43">
        <v>1</v>
      </c>
      <c r="C43">
        <v>0</v>
      </c>
      <c r="D43">
        <v>2021</v>
      </c>
      <c r="E43">
        <v>5</v>
      </c>
      <c r="F43">
        <v>1</v>
      </c>
      <c r="G43">
        <v>5</v>
      </c>
      <c r="H43">
        <v>37</v>
      </c>
      <c r="I43">
        <v>38.845999999999997</v>
      </c>
      <c r="M43" s="1">
        <f t="shared" si="1"/>
        <v>106658.84600000001</v>
      </c>
    </row>
    <row r="44" spans="1:14" ht="14.5" x14ac:dyDescent="0.35">
      <c r="A44">
        <v>7</v>
      </c>
      <c r="B44">
        <v>2</v>
      </c>
      <c r="C44">
        <v>2</v>
      </c>
      <c r="D44">
        <v>2021</v>
      </c>
      <c r="E44">
        <v>5</v>
      </c>
      <c r="F44">
        <v>1</v>
      </c>
      <c r="G44">
        <v>5</v>
      </c>
      <c r="H44">
        <v>37</v>
      </c>
      <c r="I44">
        <v>43.796999999999997</v>
      </c>
      <c r="M44" s="1">
        <f t="shared" si="1"/>
        <v>106663.79700000001</v>
      </c>
    </row>
    <row r="45" spans="1:14" ht="14.5" x14ac:dyDescent="0.35">
      <c r="A45">
        <v>7</v>
      </c>
      <c r="B45">
        <v>3</v>
      </c>
      <c r="C45">
        <v>2</v>
      </c>
      <c r="D45">
        <v>2021</v>
      </c>
      <c r="E45">
        <v>5</v>
      </c>
      <c r="F45">
        <v>1</v>
      </c>
      <c r="G45">
        <v>5</v>
      </c>
      <c r="H45">
        <v>37</v>
      </c>
      <c r="I45">
        <v>49.834000000000003</v>
      </c>
      <c r="M45" s="1">
        <f t="shared" si="1"/>
        <v>106669.834</v>
      </c>
    </row>
    <row r="46" spans="1:14" ht="14.5" x14ac:dyDescent="0.35">
      <c r="A46">
        <v>6</v>
      </c>
      <c r="B46">
        <v>4</v>
      </c>
      <c r="C46">
        <v>1</v>
      </c>
      <c r="D46">
        <v>2021</v>
      </c>
      <c r="E46">
        <v>5</v>
      </c>
      <c r="F46">
        <v>1</v>
      </c>
      <c r="G46">
        <v>5</v>
      </c>
      <c r="H46">
        <v>37</v>
      </c>
      <c r="I46">
        <v>55.506999999999998</v>
      </c>
      <c r="J46">
        <v>5</v>
      </c>
      <c r="K46">
        <v>0</v>
      </c>
      <c r="M46" s="1">
        <f t="shared" si="1"/>
        <v>106675.507</v>
      </c>
      <c r="N46">
        <f>M46-M43</f>
        <v>16.660999999992782</v>
      </c>
    </row>
    <row r="47" spans="1:14" ht="14.5" x14ac:dyDescent="0.35">
      <c r="A47">
        <v>8</v>
      </c>
      <c r="B47">
        <v>0</v>
      </c>
      <c r="C47">
        <v>1</v>
      </c>
      <c r="D47">
        <v>2021</v>
      </c>
      <c r="E47">
        <v>5</v>
      </c>
      <c r="F47">
        <v>1</v>
      </c>
      <c r="G47">
        <v>5</v>
      </c>
      <c r="H47">
        <v>38</v>
      </c>
      <c r="I47">
        <v>20.27</v>
      </c>
      <c r="M47" s="1">
        <f t="shared" si="1"/>
        <v>106700.27</v>
      </c>
      <c r="N47">
        <f>J46*1.3+10</f>
        <v>16.5</v>
      </c>
    </row>
    <row r="48" spans="1:14" ht="14.5" x14ac:dyDescent="0.35">
      <c r="A48">
        <v>8</v>
      </c>
      <c r="B48">
        <v>1</v>
      </c>
      <c r="C48">
        <v>1</v>
      </c>
      <c r="D48">
        <v>2021</v>
      </c>
      <c r="E48">
        <v>5</v>
      </c>
      <c r="F48">
        <v>1</v>
      </c>
      <c r="G48">
        <v>5</v>
      </c>
      <c r="H48">
        <v>38</v>
      </c>
      <c r="I48">
        <v>32.904000000000003</v>
      </c>
      <c r="M48" s="1">
        <f t="shared" si="1"/>
        <v>106712.90399999999</v>
      </c>
    </row>
    <row r="49" spans="1:17" ht="14.5" x14ac:dyDescent="0.35">
      <c r="A49">
        <v>8</v>
      </c>
      <c r="B49">
        <v>2</v>
      </c>
      <c r="C49">
        <v>2</v>
      </c>
      <c r="D49">
        <v>2021</v>
      </c>
      <c r="E49">
        <v>5</v>
      </c>
      <c r="F49">
        <v>1</v>
      </c>
      <c r="G49">
        <v>5</v>
      </c>
      <c r="H49">
        <v>38</v>
      </c>
      <c r="I49">
        <v>37.927999999999997</v>
      </c>
      <c r="M49" s="1">
        <f t="shared" si="1"/>
        <v>106717.928</v>
      </c>
    </row>
    <row r="50" spans="1:17" ht="14.5" x14ac:dyDescent="0.35">
      <c r="A50">
        <v>8</v>
      </c>
      <c r="B50">
        <v>3</v>
      </c>
      <c r="C50">
        <v>2</v>
      </c>
      <c r="D50">
        <v>2021</v>
      </c>
      <c r="E50">
        <v>5</v>
      </c>
      <c r="F50">
        <v>1</v>
      </c>
      <c r="G50">
        <v>5</v>
      </c>
      <c r="H50">
        <v>38</v>
      </c>
      <c r="I50">
        <v>47.988</v>
      </c>
      <c r="M50" s="1">
        <f t="shared" si="1"/>
        <v>106727.988</v>
      </c>
    </row>
    <row r="51" spans="1:17" ht="14.5" x14ac:dyDescent="0.35">
      <c r="A51">
        <v>8</v>
      </c>
      <c r="B51">
        <v>5</v>
      </c>
      <c r="C51">
        <v>1</v>
      </c>
      <c r="D51">
        <v>2021</v>
      </c>
      <c r="E51">
        <v>5</v>
      </c>
      <c r="F51">
        <v>1</v>
      </c>
      <c r="G51">
        <v>5</v>
      </c>
      <c r="H51">
        <v>38</v>
      </c>
      <c r="I51">
        <v>53.146000000000001</v>
      </c>
      <c r="J51">
        <v>5</v>
      </c>
      <c r="K51">
        <v>0</v>
      </c>
      <c r="M51" s="1">
        <f t="shared" si="1"/>
        <v>106733.14599999999</v>
      </c>
      <c r="N51">
        <f>M51-M48</f>
        <v>20.24199999999837</v>
      </c>
    </row>
    <row r="52" spans="1:17" ht="14.5" x14ac:dyDescent="0.35">
      <c r="A52">
        <v>9</v>
      </c>
      <c r="B52">
        <v>0</v>
      </c>
      <c r="C52">
        <v>1</v>
      </c>
      <c r="D52">
        <v>2021</v>
      </c>
      <c r="E52">
        <v>5</v>
      </c>
      <c r="F52">
        <v>1</v>
      </c>
      <c r="G52">
        <v>5</v>
      </c>
      <c r="H52">
        <v>39</v>
      </c>
      <c r="I52">
        <v>28.149000000000001</v>
      </c>
      <c r="M52" s="1">
        <f t="shared" si="1"/>
        <v>106768.149</v>
      </c>
      <c r="N52">
        <f>J51*1.3+10</f>
        <v>16.5</v>
      </c>
    </row>
    <row r="53" spans="1:17" ht="14.5" x14ac:dyDescent="0.35">
      <c r="A53">
        <v>9</v>
      </c>
      <c r="B53">
        <v>1</v>
      </c>
      <c r="C53">
        <v>1</v>
      </c>
      <c r="D53">
        <v>2021</v>
      </c>
      <c r="E53">
        <v>5</v>
      </c>
      <c r="F53">
        <v>1</v>
      </c>
      <c r="G53">
        <v>5</v>
      </c>
      <c r="H53">
        <v>40</v>
      </c>
      <c r="I53">
        <v>56.643000000000001</v>
      </c>
      <c r="M53" s="1">
        <f t="shared" si="1"/>
        <v>106856.643</v>
      </c>
    </row>
    <row r="54" spans="1:17" ht="14.5" x14ac:dyDescent="0.35">
      <c r="A54">
        <v>9</v>
      </c>
      <c r="B54">
        <v>2</v>
      </c>
      <c r="C54">
        <v>2</v>
      </c>
      <c r="D54">
        <v>2021</v>
      </c>
      <c r="E54">
        <v>5</v>
      </c>
      <c r="F54">
        <v>1</v>
      </c>
      <c r="G54">
        <v>5</v>
      </c>
      <c r="H54">
        <v>41</v>
      </c>
      <c r="I54">
        <v>1.609</v>
      </c>
      <c r="M54" s="1">
        <f t="shared" si="1"/>
        <v>106861.609</v>
      </c>
    </row>
    <row r="55" spans="1:17" ht="14.5" x14ac:dyDescent="0.35">
      <c r="A55">
        <v>9</v>
      </c>
      <c r="B55">
        <v>3</v>
      </c>
      <c r="C55">
        <v>2</v>
      </c>
      <c r="D55">
        <v>2021</v>
      </c>
      <c r="E55">
        <v>5</v>
      </c>
      <c r="F55">
        <v>1</v>
      </c>
      <c r="G55">
        <v>5</v>
      </c>
      <c r="H55">
        <v>41</v>
      </c>
      <c r="I55">
        <v>11.718</v>
      </c>
      <c r="M55" s="1">
        <f t="shared" si="1"/>
        <v>106871.71799999999</v>
      </c>
    </row>
    <row r="56" spans="1:17" ht="14.5" x14ac:dyDescent="0.35">
      <c r="A56">
        <v>8</v>
      </c>
      <c r="B56">
        <v>4</v>
      </c>
      <c r="C56">
        <v>0</v>
      </c>
      <c r="D56">
        <v>2021</v>
      </c>
      <c r="E56">
        <v>5</v>
      </c>
      <c r="F56">
        <v>1</v>
      </c>
      <c r="G56">
        <v>5</v>
      </c>
      <c r="H56">
        <v>41</v>
      </c>
      <c r="I56">
        <v>15.496</v>
      </c>
      <c r="J56">
        <v>8</v>
      </c>
      <c r="K56">
        <v>1</v>
      </c>
      <c r="M56" s="1">
        <f t="shared" si="1"/>
        <v>106875.496</v>
      </c>
      <c r="N56">
        <f>M56-M53</f>
        <v>18.853000000002794</v>
      </c>
      <c r="Q56">
        <v>1</v>
      </c>
    </row>
    <row r="57" spans="1:17" ht="14.5" x14ac:dyDescent="0.35">
      <c r="A57">
        <v>10</v>
      </c>
      <c r="B57">
        <v>0</v>
      </c>
      <c r="C57">
        <v>0</v>
      </c>
      <c r="D57">
        <v>2021</v>
      </c>
      <c r="E57">
        <v>5</v>
      </c>
      <c r="F57">
        <v>1</v>
      </c>
      <c r="G57">
        <v>5</v>
      </c>
      <c r="H57">
        <v>41</v>
      </c>
      <c r="I57">
        <v>40.332000000000001</v>
      </c>
      <c r="M57" s="1">
        <f t="shared" si="1"/>
        <v>106900.33199999999</v>
      </c>
      <c r="N57">
        <f>J56*1.3+10</f>
        <v>20.399999999999999</v>
      </c>
    </row>
    <row r="58" spans="1:17" ht="14.5" x14ac:dyDescent="0.35">
      <c r="A58">
        <v>10</v>
      </c>
      <c r="B58">
        <v>1</v>
      </c>
      <c r="C58">
        <v>0</v>
      </c>
      <c r="D58">
        <v>2021</v>
      </c>
      <c r="E58">
        <v>5</v>
      </c>
      <c r="F58">
        <v>1</v>
      </c>
      <c r="G58">
        <v>5</v>
      </c>
      <c r="H58">
        <v>43</v>
      </c>
      <c r="I58">
        <v>49.981999999999999</v>
      </c>
      <c r="M58" s="1">
        <f t="shared" si="1"/>
        <v>107029.982</v>
      </c>
    </row>
    <row r="59" spans="1:17" ht="14.5" x14ac:dyDescent="0.35">
      <c r="A59">
        <v>10</v>
      </c>
      <c r="B59">
        <v>2</v>
      </c>
      <c r="C59">
        <v>2</v>
      </c>
      <c r="D59">
        <v>2021</v>
      </c>
      <c r="E59">
        <v>5</v>
      </c>
      <c r="F59">
        <v>1</v>
      </c>
      <c r="G59">
        <v>5</v>
      </c>
      <c r="H59">
        <v>45</v>
      </c>
      <c r="I59">
        <v>12.477</v>
      </c>
      <c r="M59" s="1">
        <f t="shared" si="1"/>
        <v>107112.477</v>
      </c>
    </row>
    <row r="60" spans="1:17" ht="14.5" x14ac:dyDescent="0.35">
      <c r="A60">
        <v>10</v>
      </c>
      <c r="B60">
        <v>3</v>
      </c>
      <c r="C60">
        <v>2</v>
      </c>
      <c r="D60">
        <v>2021</v>
      </c>
      <c r="E60">
        <v>5</v>
      </c>
      <c r="F60">
        <v>1</v>
      </c>
      <c r="G60">
        <v>5</v>
      </c>
      <c r="H60">
        <v>45</v>
      </c>
      <c r="I60">
        <v>18.350000000000001</v>
      </c>
      <c r="M60" s="1">
        <f t="shared" si="1"/>
        <v>107118.35</v>
      </c>
    </row>
    <row r="61" spans="1:17" ht="14.5" x14ac:dyDescent="0.35">
      <c r="A61">
        <v>9</v>
      </c>
      <c r="B61">
        <v>4</v>
      </c>
      <c r="C61">
        <v>1</v>
      </c>
      <c r="D61">
        <v>2021</v>
      </c>
      <c r="E61">
        <v>5</v>
      </c>
      <c r="F61">
        <v>1</v>
      </c>
      <c r="G61">
        <v>5</v>
      </c>
      <c r="H61">
        <v>45</v>
      </c>
      <c r="I61">
        <v>39.654000000000003</v>
      </c>
      <c r="J61">
        <v>5</v>
      </c>
      <c r="K61">
        <v>0</v>
      </c>
      <c r="M61" s="1">
        <f t="shared" si="1"/>
        <v>107139.65399999999</v>
      </c>
      <c r="N61">
        <f>M61-M58</f>
        <v>109.67199999999139</v>
      </c>
    </row>
    <row r="62" spans="1:17" ht="14.5" x14ac:dyDescent="0.35">
      <c r="A62">
        <v>11</v>
      </c>
      <c r="B62">
        <v>0</v>
      </c>
      <c r="C62">
        <v>0</v>
      </c>
      <c r="D62">
        <v>2021</v>
      </c>
      <c r="E62">
        <v>5</v>
      </c>
      <c r="F62">
        <v>1</v>
      </c>
      <c r="G62">
        <v>5</v>
      </c>
      <c r="H62">
        <v>46</v>
      </c>
      <c r="I62">
        <v>3.7360000000000002</v>
      </c>
      <c r="M62" s="1">
        <f t="shared" si="1"/>
        <v>107163.736</v>
      </c>
      <c r="N62">
        <f>J61*1.3+10</f>
        <v>16.5</v>
      </c>
    </row>
    <row r="63" spans="1:17" ht="14.5" x14ac:dyDescent="0.35">
      <c r="A63">
        <v>11</v>
      </c>
      <c r="B63">
        <v>1</v>
      </c>
      <c r="C63">
        <v>0</v>
      </c>
      <c r="D63">
        <v>2021</v>
      </c>
      <c r="E63">
        <v>5</v>
      </c>
      <c r="F63">
        <v>1</v>
      </c>
      <c r="G63">
        <v>5</v>
      </c>
      <c r="H63">
        <v>50</v>
      </c>
      <c r="I63">
        <v>21.763999999999999</v>
      </c>
      <c r="M63" s="1">
        <f t="shared" si="1"/>
        <v>107421.764</v>
      </c>
    </row>
    <row r="64" spans="1:17" ht="14.5" x14ac:dyDescent="0.35">
      <c r="A64">
        <v>11</v>
      </c>
      <c r="B64">
        <v>2</v>
      </c>
      <c r="C64">
        <v>2</v>
      </c>
      <c r="D64">
        <v>2021</v>
      </c>
      <c r="E64">
        <v>5</v>
      </c>
      <c r="F64">
        <v>1</v>
      </c>
      <c r="G64">
        <v>5</v>
      </c>
      <c r="H64">
        <v>50</v>
      </c>
      <c r="I64">
        <v>28.658000000000001</v>
      </c>
      <c r="M64" s="1">
        <f t="shared" si="1"/>
        <v>107428.658</v>
      </c>
    </row>
    <row r="65" spans="1:17" ht="14.5" x14ac:dyDescent="0.35">
      <c r="A65">
        <v>11</v>
      </c>
      <c r="B65">
        <v>3</v>
      </c>
      <c r="C65">
        <v>2</v>
      </c>
      <c r="D65">
        <v>2021</v>
      </c>
      <c r="E65">
        <v>5</v>
      </c>
      <c r="F65">
        <v>1</v>
      </c>
      <c r="G65">
        <v>5</v>
      </c>
      <c r="H65">
        <v>50</v>
      </c>
      <c r="I65">
        <v>33.686</v>
      </c>
      <c r="M65" s="1">
        <f t="shared" si="1"/>
        <v>107433.686</v>
      </c>
    </row>
    <row r="66" spans="1:17" ht="14.5" x14ac:dyDescent="0.35">
      <c r="A66">
        <v>10</v>
      </c>
      <c r="B66">
        <v>4</v>
      </c>
      <c r="C66">
        <v>1</v>
      </c>
      <c r="D66">
        <v>2021</v>
      </c>
      <c r="E66">
        <v>5</v>
      </c>
      <c r="F66">
        <v>1</v>
      </c>
      <c r="G66">
        <v>5</v>
      </c>
      <c r="H66">
        <v>50</v>
      </c>
      <c r="I66">
        <v>37.728000000000002</v>
      </c>
      <c r="J66">
        <v>5</v>
      </c>
      <c r="K66">
        <v>0</v>
      </c>
      <c r="M66" s="1">
        <f t="shared" si="1"/>
        <v>107437.728</v>
      </c>
      <c r="N66">
        <f>M66-M63</f>
        <v>15.964000000007218</v>
      </c>
      <c r="O66" s="2">
        <v>1</v>
      </c>
    </row>
    <row r="67" spans="1:17" ht="14.5" x14ac:dyDescent="0.35">
      <c r="A67">
        <v>12</v>
      </c>
      <c r="B67">
        <v>0</v>
      </c>
      <c r="C67">
        <v>1</v>
      </c>
      <c r="D67">
        <v>2021</v>
      </c>
      <c r="E67">
        <v>5</v>
      </c>
      <c r="F67">
        <v>1</v>
      </c>
      <c r="G67">
        <v>5</v>
      </c>
      <c r="H67">
        <v>51</v>
      </c>
      <c r="I67">
        <v>1.661</v>
      </c>
      <c r="M67" s="1">
        <f t="shared" si="1"/>
        <v>107461.66099999999</v>
      </c>
      <c r="N67">
        <f>J66*1.3+10</f>
        <v>16.5</v>
      </c>
    </row>
    <row r="68" spans="1:17" ht="14.5" x14ac:dyDescent="0.35">
      <c r="A68">
        <v>12</v>
      </c>
      <c r="B68">
        <v>1</v>
      </c>
      <c r="C68">
        <v>1</v>
      </c>
      <c r="D68">
        <v>2021</v>
      </c>
      <c r="E68">
        <v>5</v>
      </c>
      <c r="F68">
        <v>1</v>
      </c>
      <c r="G68">
        <v>5</v>
      </c>
      <c r="H68">
        <v>51</v>
      </c>
      <c r="I68">
        <v>10.403</v>
      </c>
      <c r="M68" s="1">
        <f t="shared" si="1"/>
        <v>107470.40300000001</v>
      </c>
    </row>
    <row r="69" spans="1:17" ht="14.5" x14ac:dyDescent="0.35">
      <c r="A69">
        <v>12</v>
      </c>
      <c r="B69">
        <v>2</v>
      </c>
      <c r="C69">
        <v>2</v>
      </c>
      <c r="D69">
        <v>2021</v>
      </c>
      <c r="E69">
        <v>5</v>
      </c>
      <c r="F69">
        <v>1</v>
      </c>
      <c r="G69">
        <v>5</v>
      </c>
      <c r="H69">
        <v>51</v>
      </c>
      <c r="I69">
        <v>16.518999999999998</v>
      </c>
      <c r="M69" s="1">
        <f t="shared" si="1"/>
        <v>107476.519</v>
      </c>
    </row>
    <row r="70" spans="1:17" ht="14.5" x14ac:dyDescent="0.35">
      <c r="A70">
        <v>12</v>
      </c>
      <c r="B70">
        <v>3</v>
      </c>
      <c r="C70">
        <v>2</v>
      </c>
      <c r="D70">
        <v>2021</v>
      </c>
      <c r="E70">
        <v>5</v>
      </c>
      <c r="F70">
        <v>1</v>
      </c>
      <c r="G70">
        <v>5</v>
      </c>
      <c r="H70">
        <v>51</v>
      </c>
      <c r="I70">
        <v>24.876999999999999</v>
      </c>
      <c r="M70" s="1">
        <f t="shared" si="1"/>
        <v>107484.87699999999</v>
      </c>
    </row>
    <row r="71" spans="1:17" ht="14.5" x14ac:dyDescent="0.35">
      <c r="A71">
        <v>11</v>
      </c>
      <c r="B71">
        <v>4</v>
      </c>
      <c r="C71">
        <v>0</v>
      </c>
      <c r="D71">
        <v>2021</v>
      </c>
      <c r="E71">
        <v>5</v>
      </c>
      <c r="F71">
        <v>1</v>
      </c>
      <c r="G71">
        <v>5</v>
      </c>
      <c r="H71">
        <v>51</v>
      </c>
      <c r="I71">
        <v>28.861000000000001</v>
      </c>
      <c r="J71">
        <v>8</v>
      </c>
      <c r="K71">
        <v>1</v>
      </c>
      <c r="M71" s="1">
        <f t="shared" si="1"/>
        <v>107488.861</v>
      </c>
      <c r="N71">
        <f>M71-M68</f>
        <v>18.457999999998719</v>
      </c>
      <c r="Q71">
        <v>1</v>
      </c>
    </row>
    <row r="72" spans="1:17" ht="14.5" x14ac:dyDescent="0.35">
      <c r="A72">
        <v>13</v>
      </c>
      <c r="B72">
        <v>0</v>
      </c>
      <c r="C72">
        <v>1</v>
      </c>
      <c r="D72">
        <v>2021</v>
      </c>
      <c r="E72">
        <v>5</v>
      </c>
      <c r="F72">
        <v>1</v>
      </c>
      <c r="G72">
        <v>5</v>
      </c>
      <c r="H72">
        <v>51</v>
      </c>
      <c r="I72">
        <v>53.93</v>
      </c>
      <c r="M72" s="1">
        <f t="shared" si="1"/>
        <v>107513.93</v>
      </c>
      <c r="N72">
        <f>J71*1.3+10</f>
        <v>20.399999999999999</v>
      </c>
    </row>
    <row r="73" spans="1:17" ht="14.5" x14ac:dyDescent="0.35">
      <c r="A73">
        <v>13</v>
      </c>
      <c r="B73">
        <v>1</v>
      </c>
      <c r="C73">
        <v>1</v>
      </c>
      <c r="D73">
        <v>2021</v>
      </c>
      <c r="E73">
        <v>5</v>
      </c>
      <c r="F73">
        <v>1</v>
      </c>
      <c r="G73">
        <v>5</v>
      </c>
      <c r="H73">
        <v>52</v>
      </c>
      <c r="I73">
        <v>9.1820000000000004</v>
      </c>
      <c r="M73" s="1">
        <f t="shared" si="1"/>
        <v>107529.182</v>
      </c>
    </row>
    <row r="74" spans="1:17" ht="14.5" x14ac:dyDescent="0.35">
      <c r="A74">
        <v>13</v>
      </c>
      <c r="B74">
        <v>2</v>
      </c>
      <c r="C74">
        <v>2</v>
      </c>
      <c r="D74">
        <v>2021</v>
      </c>
      <c r="E74">
        <v>5</v>
      </c>
      <c r="F74">
        <v>1</v>
      </c>
      <c r="G74">
        <v>5</v>
      </c>
      <c r="H74">
        <v>52</v>
      </c>
      <c r="I74">
        <v>15.887</v>
      </c>
      <c r="M74" s="1">
        <f t="shared" si="1"/>
        <v>107535.887</v>
      </c>
    </row>
    <row r="75" spans="1:17" ht="14.5" x14ac:dyDescent="0.35">
      <c r="A75">
        <v>13</v>
      </c>
      <c r="B75">
        <v>3</v>
      </c>
      <c r="C75">
        <v>2</v>
      </c>
      <c r="D75">
        <v>2021</v>
      </c>
      <c r="E75">
        <v>5</v>
      </c>
      <c r="F75">
        <v>1</v>
      </c>
      <c r="G75">
        <v>5</v>
      </c>
      <c r="H75">
        <v>52</v>
      </c>
      <c r="I75">
        <v>30.896999999999998</v>
      </c>
      <c r="M75" s="1">
        <f t="shared" si="1"/>
        <v>107550.897</v>
      </c>
    </row>
    <row r="76" spans="1:17" ht="14.5" x14ac:dyDescent="0.35">
      <c r="A76">
        <v>13</v>
      </c>
      <c r="B76">
        <v>5</v>
      </c>
      <c r="C76">
        <v>1</v>
      </c>
      <c r="D76">
        <v>2021</v>
      </c>
      <c r="E76">
        <v>5</v>
      </c>
      <c r="F76">
        <v>1</v>
      </c>
      <c r="G76">
        <v>5</v>
      </c>
      <c r="H76">
        <v>52</v>
      </c>
      <c r="I76">
        <v>37.459000000000003</v>
      </c>
      <c r="J76">
        <v>8</v>
      </c>
      <c r="K76">
        <v>1</v>
      </c>
      <c r="M76" s="1">
        <f t="shared" si="1"/>
        <v>107557.459</v>
      </c>
      <c r="N76">
        <f>M76-M73</f>
        <v>28.277000000001863</v>
      </c>
    </row>
    <row r="77" spans="1:17" ht="14.5" x14ac:dyDescent="0.35">
      <c r="A77">
        <v>14</v>
      </c>
      <c r="B77">
        <v>0</v>
      </c>
      <c r="C77">
        <v>0</v>
      </c>
      <c r="D77">
        <v>2021</v>
      </c>
      <c r="E77">
        <v>5</v>
      </c>
      <c r="F77">
        <v>1</v>
      </c>
      <c r="G77">
        <v>5</v>
      </c>
      <c r="H77">
        <v>53</v>
      </c>
      <c r="I77">
        <v>12.435</v>
      </c>
      <c r="M77" s="1">
        <f t="shared" ref="M77:M131" si="2">F77*86400+I77+H77*60+G77*60*60</f>
        <v>107592.435</v>
      </c>
      <c r="N77">
        <f>J76*1.3+10</f>
        <v>20.399999999999999</v>
      </c>
    </row>
    <row r="78" spans="1:17" ht="14.5" x14ac:dyDescent="0.35">
      <c r="A78">
        <v>14</v>
      </c>
      <c r="B78">
        <v>1</v>
      </c>
      <c r="C78">
        <v>0</v>
      </c>
      <c r="D78">
        <v>2021</v>
      </c>
      <c r="E78">
        <v>5</v>
      </c>
      <c r="F78">
        <v>1</v>
      </c>
      <c r="G78">
        <v>5</v>
      </c>
      <c r="H78">
        <v>54</v>
      </c>
      <c r="I78">
        <v>8.2270000000000003</v>
      </c>
      <c r="M78" s="1">
        <f t="shared" si="2"/>
        <v>107648.227</v>
      </c>
    </row>
    <row r="79" spans="1:17" ht="14.5" x14ac:dyDescent="0.35">
      <c r="A79">
        <v>14</v>
      </c>
      <c r="B79">
        <v>2</v>
      </c>
      <c r="C79">
        <v>2</v>
      </c>
      <c r="D79">
        <v>2021</v>
      </c>
      <c r="E79">
        <v>5</v>
      </c>
      <c r="F79">
        <v>1</v>
      </c>
      <c r="G79">
        <v>5</v>
      </c>
      <c r="H79">
        <v>54</v>
      </c>
      <c r="I79">
        <v>27.247</v>
      </c>
      <c r="M79" s="1">
        <f t="shared" si="2"/>
        <v>107667.247</v>
      </c>
    </row>
    <row r="80" spans="1:17" ht="14.5" x14ac:dyDescent="0.35">
      <c r="A80">
        <v>14</v>
      </c>
      <c r="B80">
        <v>3</v>
      </c>
      <c r="C80">
        <v>2</v>
      </c>
      <c r="D80">
        <v>2021</v>
      </c>
      <c r="E80">
        <v>5</v>
      </c>
      <c r="F80">
        <v>1</v>
      </c>
      <c r="G80">
        <v>5</v>
      </c>
      <c r="H80">
        <v>54</v>
      </c>
      <c r="I80">
        <v>32.683</v>
      </c>
      <c r="M80" s="1">
        <f t="shared" si="2"/>
        <v>107672.683</v>
      </c>
    </row>
    <row r="81" spans="1:14" ht="14.5" x14ac:dyDescent="0.35">
      <c r="A81">
        <v>13</v>
      </c>
      <c r="B81">
        <v>4</v>
      </c>
      <c r="C81">
        <v>1</v>
      </c>
      <c r="D81">
        <v>2021</v>
      </c>
      <c r="E81">
        <v>5</v>
      </c>
      <c r="F81">
        <v>1</v>
      </c>
      <c r="G81">
        <v>5</v>
      </c>
      <c r="H81">
        <v>54</v>
      </c>
      <c r="I81">
        <v>36.688000000000002</v>
      </c>
      <c r="J81">
        <v>5</v>
      </c>
      <c r="K81">
        <v>0</v>
      </c>
      <c r="M81" s="1">
        <f t="shared" si="2"/>
        <v>107676.68799999999</v>
      </c>
      <c r="N81">
        <f>M81-M78</f>
        <v>28.460999999995693</v>
      </c>
    </row>
    <row r="82" spans="1:14" ht="14.5" x14ac:dyDescent="0.35">
      <c r="A82">
        <v>15</v>
      </c>
      <c r="B82">
        <v>0</v>
      </c>
      <c r="C82">
        <v>0</v>
      </c>
      <c r="D82">
        <v>2021</v>
      </c>
      <c r="E82">
        <v>5</v>
      </c>
      <c r="F82">
        <v>1</v>
      </c>
      <c r="G82">
        <v>5</v>
      </c>
      <c r="H82">
        <v>55</v>
      </c>
      <c r="I82">
        <v>1.42</v>
      </c>
      <c r="M82" s="1">
        <f t="shared" si="2"/>
        <v>107701.42</v>
      </c>
      <c r="N82">
        <f>J81*1.3+10</f>
        <v>16.5</v>
      </c>
    </row>
    <row r="83" spans="1:14" ht="14.5" x14ac:dyDescent="0.35">
      <c r="A83">
        <v>15</v>
      </c>
      <c r="B83">
        <v>1</v>
      </c>
      <c r="C83">
        <v>0</v>
      </c>
      <c r="D83">
        <v>2021</v>
      </c>
      <c r="E83">
        <v>5</v>
      </c>
      <c r="F83">
        <v>1</v>
      </c>
      <c r="G83">
        <v>5</v>
      </c>
      <c r="H83">
        <v>58</v>
      </c>
      <c r="I83">
        <v>5.4960000000000004</v>
      </c>
      <c r="M83" s="1">
        <f t="shared" si="2"/>
        <v>107885.496</v>
      </c>
    </row>
    <row r="84" spans="1:14" ht="14.5" x14ac:dyDescent="0.35">
      <c r="A84">
        <v>15</v>
      </c>
      <c r="B84">
        <v>2</v>
      </c>
      <c r="C84">
        <v>2</v>
      </c>
      <c r="D84">
        <v>2021</v>
      </c>
      <c r="E84">
        <v>5</v>
      </c>
      <c r="F84">
        <v>1</v>
      </c>
      <c r="G84">
        <v>5</v>
      </c>
      <c r="H84">
        <v>58</v>
      </c>
      <c r="I84">
        <v>15.41</v>
      </c>
      <c r="M84" s="1">
        <f t="shared" si="2"/>
        <v>107895.41</v>
      </c>
    </row>
    <row r="85" spans="1:14" ht="14.5" x14ac:dyDescent="0.35">
      <c r="A85">
        <v>15</v>
      </c>
      <c r="B85">
        <v>3</v>
      </c>
      <c r="C85">
        <v>2</v>
      </c>
      <c r="D85">
        <v>2021</v>
      </c>
      <c r="E85">
        <v>5</v>
      </c>
      <c r="F85">
        <v>1</v>
      </c>
      <c r="G85">
        <v>5</v>
      </c>
      <c r="H85">
        <v>58</v>
      </c>
      <c r="I85">
        <v>27.960999999999999</v>
      </c>
      <c r="M85" s="1">
        <f t="shared" si="2"/>
        <v>107907.961</v>
      </c>
    </row>
    <row r="86" spans="1:14" ht="14.5" x14ac:dyDescent="0.35">
      <c r="A86">
        <v>14</v>
      </c>
      <c r="B86">
        <v>4</v>
      </c>
      <c r="C86">
        <v>1</v>
      </c>
      <c r="D86">
        <v>2021</v>
      </c>
      <c r="E86">
        <v>5</v>
      </c>
      <c r="F86">
        <v>1</v>
      </c>
      <c r="G86">
        <v>5</v>
      </c>
      <c r="H86">
        <v>58</v>
      </c>
      <c r="I86">
        <v>29.677</v>
      </c>
      <c r="J86">
        <v>8</v>
      </c>
      <c r="K86">
        <v>1</v>
      </c>
      <c r="M86" s="1">
        <f t="shared" si="2"/>
        <v>107909.677</v>
      </c>
      <c r="N86">
        <f>M86-M83</f>
        <v>24.180999999996857</v>
      </c>
    </row>
    <row r="87" spans="1:14" ht="14.5" x14ac:dyDescent="0.35">
      <c r="A87">
        <v>16</v>
      </c>
      <c r="B87">
        <v>0</v>
      </c>
      <c r="C87">
        <v>1</v>
      </c>
      <c r="D87">
        <v>2021</v>
      </c>
      <c r="E87">
        <v>5</v>
      </c>
      <c r="F87">
        <v>1</v>
      </c>
      <c r="G87">
        <v>5</v>
      </c>
      <c r="H87">
        <v>58</v>
      </c>
      <c r="I87">
        <v>53.468000000000004</v>
      </c>
      <c r="M87" s="1">
        <f t="shared" si="2"/>
        <v>107933.46799999999</v>
      </c>
      <c r="N87">
        <f>J86*1.3+10</f>
        <v>20.399999999999999</v>
      </c>
    </row>
    <row r="88" spans="1:14" ht="14.5" x14ac:dyDescent="0.35">
      <c r="A88">
        <v>16</v>
      </c>
      <c r="B88">
        <v>1</v>
      </c>
      <c r="C88">
        <v>1</v>
      </c>
      <c r="D88">
        <v>2021</v>
      </c>
      <c r="E88">
        <v>5</v>
      </c>
      <c r="F88">
        <v>1</v>
      </c>
      <c r="G88">
        <v>5</v>
      </c>
      <c r="H88">
        <v>59</v>
      </c>
      <c r="I88">
        <v>37.506</v>
      </c>
      <c r="M88" s="1">
        <f t="shared" si="2"/>
        <v>107977.50599999999</v>
      </c>
    </row>
    <row r="89" spans="1:14" ht="14.5" x14ac:dyDescent="0.35">
      <c r="A89">
        <v>16</v>
      </c>
      <c r="B89">
        <v>2</v>
      </c>
      <c r="C89">
        <v>2</v>
      </c>
      <c r="D89">
        <v>2021</v>
      </c>
      <c r="E89">
        <v>5</v>
      </c>
      <c r="F89">
        <v>1</v>
      </c>
      <c r="G89">
        <v>5</v>
      </c>
      <c r="H89">
        <v>59</v>
      </c>
      <c r="I89">
        <v>51.776000000000003</v>
      </c>
      <c r="M89" s="1">
        <f t="shared" si="2"/>
        <v>107991.776</v>
      </c>
    </row>
    <row r="90" spans="1:14" ht="14.5" x14ac:dyDescent="0.35">
      <c r="A90">
        <v>16</v>
      </c>
      <c r="B90">
        <v>3</v>
      </c>
      <c r="C90">
        <v>2</v>
      </c>
      <c r="D90">
        <v>2021</v>
      </c>
      <c r="E90">
        <v>5</v>
      </c>
      <c r="F90">
        <v>1</v>
      </c>
      <c r="G90">
        <v>5</v>
      </c>
      <c r="H90">
        <v>59</v>
      </c>
      <c r="I90">
        <v>58.811999999999998</v>
      </c>
      <c r="M90" s="1">
        <f t="shared" si="2"/>
        <v>107998.81200000001</v>
      </c>
    </row>
    <row r="91" spans="1:14" ht="14.5" x14ac:dyDescent="0.35">
      <c r="A91">
        <v>15</v>
      </c>
      <c r="B91">
        <v>4</v>
      </c>
      <c r="C91">
        <v>0</v>
      </c>
      <c r="D91">
        <v>2021</v>
      </c>
      <c r="E91">
        <v>5</v>
      </c>
      <c r="F91">
        <v>1</v>
      </c>
      <c r="G91">
        <v>6</v>
      </c>
      <c r="H91">
        <v>0</v>
      </c>
      <c r="I91">
        <v>2.7240000000000002</v>
      </c>
      <c r="J91">
        <v>5</v>
      </c>
      <c r="K91">
        <v>0</v>
      </c>
      <c r="M91" s="1">
        <f t="shared" si="2"/>
        <v>108002.724</v>
      </c>
      <c r="N91">
        <f>M91-M88</f>
        <v>25.218000000008033</v>
      </c>
    </row>
    <row r="92" spans="1:14" ht="14.5" x14ac:dyDescent="0.35">
      <c r="A92">
        <v>17</v>
      </c>
      <c r="B92">
        <v>0</v>
      </c>
      <c r="C92">
        <v>0</v>
      </c>
      <c r="D92">
        <v>2021</v>
      </c>
      <c r="E92">
        <v>5</v>
      </c>
      <c r="F92">
        <v>1</v>
      </c>
      <c r="G92">
        <v>6</v>
      </c>
      <c r="H92">
        <v>0</v>
      </c>
      <c r="I92">
        <v>27.577000000000002</v>
      </c>
      <c r="M92" s="1">
        <f t="shared" si="2"/>
        <v>108027.577</v>
      </c>
      <c r="N92">
        <f>J91*1.3+10</f>
        <v>16.5</v>
      </c>
    </row>
    <row r="93" spans="1:14" ht="14.5" x14ac:dyDescent="0.35">
      <c r="A93">
        <v>17</v>
      </c>
      <c r="B93">
        <v>1</v>
      </c>
      <c r="C93">
        <v>0</v>
      </c>
      <c r="D93">
        <v>2021</v>
      </c>
      <c r="E93">
        <v>5</v>
      </c>
      <c r="F93">
        <v>1</v>
      </c>
      <c r="G93">
        <v>6</v>
      </c>
      <c r="H93">
        <v>0</v>
      </c>
      <c r="I93">
        <v>43.679000000000002</v>
      </c>
      <c r="M93" s="1">
        <f t="shared" si="2"/>
        <v>108043.679</v>
      </c>
    </row>
    <row r="94" spans="1:14" ht="14.5" x14ac:dyDescent="0.35">
      <c r="A94">
        <v>17</v>
      </c>
      <c r="B94">
        <v>2</v>
      </c>
      <c r="C94">
        <v>2</v>
      </c>
      <c r="D94">
        <v>2021</v>
      </c>
      <c r="E94">
        <v>5</v>
      </c>
      <c r="F94">
        <v>1</v>
      </c>
      <c r="G94">
        <v>6</v>
      </c>
      <c r="H94">
        <v>0</v>
      </c>
      <c r="I94">
        <v>48.771000000000001</v>
      </c>
      <c r="M94" s="1">
        <f t="shared" si="2"/>
        <v>108048.77099999999</v>
      </c>
    </row>
    <row r="95" spans="1:14" ht="14.5" x14ac:dyDescent="0.35">
      <c r="A95">
        <v>17</v>
      </c>
      <c r="B95">
        <v>3</v>
      </c>
      <c r="C95">
        <v>2</v>
      </c>
      <c r="D95">
        <v>2021</v>
      </c>
      <c r="E95">
        <v>5</v>
      </c>
      <c r="F95">
        <v>1</v>
      </c>
      <c r="G95">
        <v>6</v>
      </c>
      <c r="H95">
        <v>0</v>
      </c>
      <c r="I95">
        <v>57.174999999999997</v>
      </c>
      <c r="M95" s="1">
        <f t="shared" si="2"/>
        <v>108057.175</v>
      </c>
    </row>
    <row r="96" spans="1:14" ht="14.5" x14ac:dyDescent="0.35">
      <c r="A96">
        <v>17</v>
      </c>
      <c r="B96">
        <v>5</v>
      </c>
      <c r="C96">
        <v>0</v>
      </c>
      <c r="D96">
        <v>2021</v>
      </c>
      <c r="E96">
        <v>5</v>
      </c>
      <c r="F96">
        <v>1</v>
      </c>
      <c r="G96">
        <v>6</v>
      </c>
      <c r="H96">
        <v>1</v>
      </c>
      <c r="I96">
        <v>11.521000000000001</v>
      </c>
      <c r="J96">
        <v>8</v>
      </c>
      <c r="K96">
        <v>1</v>
      </c>
      <c r="M96" s="1">
        <f t="shared" si="2"/>
        <v>108071.52099999999</v>
      </c>
      <c r="N96">
        <f>M96-M93</f>
        <v>27.841999999989639</v>
      </c>
    </row>
    <row r="97" spans="1:17" ht="14.5" x14ac:dyDescent="0.35">
      <c r="A97">
        <v>18</v>
      </c>
      <c r="B97">
        <v>0</v>
      </c>
      <c r="C97">
        <v>1</v>
      </c>
      <c r="D97">
        <v>2021</v>
      </c>
      <c r="E97">
        <v>5</v>
      </c>
      <c r="F97">
        <v>1</v>
      </c>
      <c r="G97">
        <v>6</v>
      </c>
      <c r="H97">
        <v>1</v>
      </c>
      <c r="I97">
        <v>46.558999999999997</v>
      </c>
      <c r="M97" s="1">
        <f t="shared" si="2"/>
        <v>108106.55899999999</v>
      </c>
      <c r="N97">
        <f>J96*1.3+10</f>
        <v>20.399999999999999</v>
      </c>
    </row>
    <row r="98" spans="1:17" ht="14.5" x14ac:dyDescent="0.35">
      <c r="A98">
        <v>18</v>
      </c>
      <c r="B98">
        <v>1</v>
      </c>
      <c r="C98">
        <v>1</v>
      </c>
      <c r="D98">
        <v>2021</v>
      </c>
      <c r="E98">
        <v>5</v>
      </c>
      <c r="F98">
        <v>1</v>
      </c>
      <c r="G98">
        <v>6</v>
      </c>
      <c r="H98">
        <v>3</v>
      </c>
      <c r="I98">
        <v>1.901</v>
      </c>
      <c r="M98" s="1">
        <f t="shared" si="2"/>
        <v>108181.901</v>
      </c>
    </row>
    <row r="99" spans="1:17" ht="14.5" x14ac:dyDescent="0.35">
      <c r="A99">
        <v>18</v>
      </c>
      <c r="B99">
        <v>2</v>
      </c>
      <c r="C99">
        <v>2</v>
      </c>
      <c r="D99">
        <v>2021</v>
      </c>
      <c r="E99">
        <v>5</v>
      </c>
      <c r="F99">
        <v>1</v>
      </c>
      <c r="G99">
        <v>6</v>
      </c>
      <c r="H99">
        <v>3</v>
      </c>
      <c r="I99">
        <v>13.548</v>
      </c>
      <c r="M99" s="1">
        <f t="shared" si="2"/>
        <v>108193.548</v>
      </c>
    </row>
    <row r="100" spans="1:17" ht="14.5" x14ac:dyDescent="0.35">
      <c r="A100">
        <v>18</v>
      </c>
      <c r="B100">
        <v>3</v>
      </c>
      <c r="C100">
        <v>2</v>
      </c>
      <c r="D100">
        <v>2021</v>
      </c>
      <c r="E100">
        <v>5</v>
      </c>
      <c r="F100">
        <v>1</v>
      </c>
      <c r="G100">
        <v>6</v>
      </c>
      <c r="H100">
        <v>3</v>
      </c>
      <c r="I100">
        <v>18.988</v>
      </c>
      <c r="M100" s="1">
        <f t="shared" si="2"/>
        <v>108198.988</v>
      </c>
    </row>
    <row r="101" spans="1:17" ht="14.5" x14ac:dyDescent="0.35">
      <c r="A101">
        <v>17</v>
      </c>
      <c r="B101">
        <v>4</v>
      </c>
      <c r="C101">
        <v>0</v>
      </c>
      <c r="D101">
        <v>2021</v>
      </c>
      <c r="E101">
        <v>5</v>
      </c>
      <c r="F101">
        <v>1</v>
      </c>
      <c r="G101">
        <v>6</v>
      </c>
      <c r="H101">
        <v>3</v>
      </c>
      <c r="I101">
        <v>23.736000000000001</v>
      </c>
      <c r="J101">
        <v>5</v>
      </c>
      <c r="K101">
        <v>0</v>
      </c>
      <c r="M101" s="1">
        <f t="shared" si="2"/>
        <v>108203.736</v>
      </c>
      <c r="N101">
        <f>M101-M98</f>
        <v>21.835000000006403</v>
      </c>
    </row>
    <row r="102" spans="1:17" ht="14.5" x14ac:dyDescent="0.35">
      <c r="A102">
        <v>19</v>
      </c>
      <c r="B102">
        <v>0</v>
      </c>
      <c r="C102">
        <v>1</v>
      </c>
      <c r="D102">
        <v>2021</v>
      </c>
      <c r="E102">
        <v>5</v>
      </c>
      <c r="F102">
        <v>1</v>
      </c>
      <c r="G102">
        <v>6</v>
      </c>
      <c r="H102">
        <v>3</v>
      </c>
      <c r="I102">
        <v>48.116</v>
      </c>
      <c r="M102" s="1">
        <f t="shared" si="2"/>
        <v>108228.11599999999</v>
      </c>
      <c r="N102">
        <f>J101*1.3+10</f>
        <v>16.5</v>
      </c>
    </row>
    <row r="103" spans="1:17" ht="14.5" x14ac:dyDescent="0.35">
      <c r="A103">
        <v>19</v>
      </c>
      <c r="B103">
        <v>1</v>
      </c>
      <c r="C103">
        <v>1</v>
      </c>
      <c r="D103">
        <v>2021</v>
      </c>
      <c r="E103">
        <v>5</v>
      </c>
      <c r="F103">
        <v>1</v>
      </c>
      <c r="G103">
        <v>6</v>
      </c>
      <c r="H103">
        <v>5</v>
      </c>
      <c r="I103">
        <v>7.1379999999999999</v>
      </c>
      <c r="M103" s="1">
        <f t="shared" si="2"/>
        <v>108307.13800000001</v>
      </c>
    </row>
    <row r="104" spans="1:17" ht="14.5" x14ac:dyDescent="0.35">
      <c r="A104">
        <v>19</v>
      </c>
      <c r="B104">
        <v>2</v>
      </c>
      <c r="C104">
        <v>2</v>
      </c>
      <c r="D104">
        <v>2021</v>
      </c>
      <c r="E104">
        <v>5</v>
      </c>
      <c r="F104">
        <v>1</v>
      </c>
      <c r="G104">
        <v>6</v>
      </c>
      <c r="H104">
        <v>5</v>
      </c>
      <c r="I104">
        <v>15.547000000000001</v>
      </c>
      <c r="M104" s="1">
        <f t="shared" si="2"/>
        <v>108315.54700000001</v>
      </c>
    </row>
    <row r="105" spans="1:17" ht="14.5" x14ac:dyDescent="0.35">
      <c r="A105">
        <v>19</v>
      </c>
      <c r="B105">
        <v>3</v>
      </c>
      <c r="C105">
        <v>2</v>
      </c>
      <c r="D105">
        <v>2021</v>
      </c>
      <c r="E105">
        <v>5</v>
      </c>
      <c r="F105">
        <v>1</v>
      </c>
      <c r="G105">
        <v>6</v>
      </c>
      <c r="H105">
        <v>5</v>
      </c>
      <c r="I105">
        <v>22.471</v>
      </c>
      <c r="M105" s="1">
        <f t="shared" si="2"/>
        <v>108322.47100000001</v>
      </c>
    </row>
    <row r="106" spans="1:17" ht="14.5" x14ac:dyDescent="0.35">
      <c r="A106">
        <v>19</v>
      </c>
      <c r="B106">
        <v>5</v>
      </c>
      <c r="C106">
        <v>1</v>
      </c>
      <c r="D106">
        <v>2021</v>
      </c>
      <c r="E106">
        <v>5</v>
      </c>
      <c r="F106">
        <v>1</v>
      </c>
      <c r="G106">
        <v>6</v>
      </c>
      <c r="H106">
        <v>5</v>
      </c>
      <c r="I106">
        <v>28.353000000000002</v>
      </c>
      <c r="J106">
        <v>5</v>
      </c>
      <c r="K106">
        <v>0</v>
      </c>
      <c r="M106" s="1">
        <f t="shared" si="2"/>
        <v>108328.353</v>
      </c>
      <c r="N106">
        <f>M106-M103</f>
        <v>21.214999999996508</v>
      </c>
    </row>
    <row r="107" spans="1:17" ht="14.5" x14ac:dyDescent="0.35">
      <c r="A107">
        <v>20</v>
      </c>
      <c r="B107">
        <v>0</v>
      </c>
      <c r="C107">
        <v>0</v>
      </c>
      <c r="D107">
        <v>2021</v>
      </c>
      <c r="E107">
        <v>5</v>
      </c>
      <c r="F107">
        <v>1</v>
      </c>
      <c r="G107">
        <v>6</v>
      </c>
      <c r="H107">
        <v>6</v>
      </c>
      <c r="I107">
        <v>3.3340000000000001</v>
      </c>
      <c r="M107" s="1">
        <f t="shared" si="2"/>
        <v>108363.334</v>
      </c>
      <c r="N107">
        <f>J106*1.3+10</f>
        <v>16.5</v>
      </c>
    </row>
    <row r="108" spans="1:17" ht="14.5" x14ac:dyDescent="0.35">
      <c r="A108">
        <v>20</v>
      </c>
      <c r="B108">
        <v>1</v>
      </c>
      <c r="C108">
        <v>0</v>
      </c>
      <c r="D108">
        <v>2021</v>
      </c>
      <c r="E108">
        <v>5</v>
      </c>
      <c r="F108">
        <v>1</v>
      </c>
      <c r="G108">
        <v>6</v>
      </c>
      <c r="H108">
        <v>7</v>
      </c>
      <c r="I108">
        <v>17.25</v>
      </c>
      <c r="M108" s="1">
        <f t="shared" si="2"/>
        <v>108437.25</v>
      </c>
    </row>
    <row r="109" spans="1:17" ht="14.5" x14ac:dyDescent="0.35">
      <c r="A109">
        <v>20</v>
      </c>
      <c r="B109">
        <v>2</v>
      </c>
      <c r="C109">
        <v>2</v>
      </c>
      <c r="D109">
        <v>2021</v>
      </c>
      <c r="E109">
        <v>5</v>
      </c>
      <c r="F109">
        <v>1</v>
      </c>
      <c r="G109">
        <v>6</v>
      </c>
      <c r="H109">
        <v>7</v>
      </c>
      <c r="I109">
        <v>20.129000000000001</v>
      </c>
      <c r="M109" s="1">
        <f t="shared" si="2"/>
        <v>108440.129</v>
      </c>
    </row>
    <row r="110" spans="1:17" ht="14.5" x14ac:dyDescent="0.35">
      <c r="A110">
        <v>20</v>
      </c>
      <c r="B110">
        <v>3</v>
      </c>
      <c r="C110">
        <v>2</v>
      </c>
      <c r="D110">
        <v>2021</v>
      </c>
      <c r="E110">
        <v>5</v>
      </c>
      <c r="F110">
        <v>1</v>
      </c>
      <c r="G110">
        <v>6</v>
      </c>
      <c r="H110">
        <v>7</v>
      </c>
      <c r="I110">
        <v>28.126999999999999</v>
      </c>
      <c r="M110" s="1">
        <f t="shared" si="2"/>
        <v>108448.12699999999</v>
      </c>
    </row>
    <row r="111" spans="1:17" ht="14.5" x14ac:dyDescent="0.35">
      <c r="A111">
        <v>19</v>
      </c>
      <c r="B111">
        <v>4</v>
      </c>
      <c r="C111">
        <v>1</v>
      </c>
      <c r="D111">
        <v>2021</v>
      </c>
      <c r="E111">
        <v>5</v>
      </c>
      <c r="F111">
        <v>1</v>
      </c>
      <c r="G111">
        <v>6</v>
      </c>
      <c r="H111">
        <v>7</v>
      </c>
      <c r="I111">
        <v>34.430999999999997</v>
      </c>
      <c r="J111">
        <v>8</v>
      </c>
      <c r="K111">
        <v>1</v>
      </c>
      <c r="M111" s="1">
        <f t="shared" si="2"/>
        <v>108454.431</v>
      </c>
      <c r="N111">
        <f>M111-M108</f>
        <v>17.180999999996857</v>
      </c>
      <c r="Q111">
        <v>1</v>
      </c>
    </row>
    <row r="112" spans="1:17" ht="14.5" x14ac:dyDescent="0.35">
      <c r="A112">
        <v>21</v>
      </c>
      <c r="B112">
        <v>0</v>
      </c>
      <c r="C112">
        <v>1</v>
      </c>
      <c r="D112">
        <v>2021</v>
      </c>
      <c r="E112">
        <v>5</v>
      </c>
      <c r="F112">
        <v>1</v>
      </c>
      <c r="G112">
        <v>6</v>
      </c>
      <c r="H112">
        <v>7</v>
      </c>
      <c r="I112">
        <v>58.56</v>
      </c>
      <c r="M112" s="1">
        <f t="shared" si="2"/>
        <v>108478.56</v>
      </c>
      <c r="N112">
        <f>J111*1.3+10</f>
        <v>20.399999999999999</v>
      </c>
    </row>
    <row r="113" spans="1:14" ht="14.5" x14ac:dyDescent="0.35">
      <c r="A113">
        <v>21</v>
      </c>
      <c r="B113">
        <v>1</v>
      </c>
      <c r="C113">
        <v>1</v>
      </c>
      <c r="D113">
        <v>2021</v>
      </c>
      <c r="E113">
        <v>5</v>
      </c>
      <c r="F113">
        <v>1</v>
      </c>
      <c r="G113">
        <v>6</v>
      </c>
      <c r="H113">
        <v>7</v>
      </c>
      <c r="I113">
        <v>59.162999999999997</v>
      </c>
      <c r="M113" s="1">
        <f t="shared" si="2"/>
        <v>108479.163</v>
      </c>
    </row>
    <row r="114" spans="1:14" ht="14.5" x14ac:dyDescent="0.35">
      <c r="A114">
        <v>21</v>
      </c>
      <c r="B114">
        <v>2</v>
      </c>
      <c r="C114">
        <v>2</v>
      </c>
      <c r="D114">
        <v>2021</v>
      </c>
      <c r="E114">
        <v>5</v>
      </c>
      <c r="F114">
        <v>1</v>
      </c>
      <c r="G114">
        <v>6</v>
      </c>
      <c r="H114">
        <v>8</v>
      </c>
      <c r="I114">
        <v>7.633</v>
      </c>
      <c r="M114" s="1">
        <f t="shared" si="2"/>
        <v>108487.633</v>
      </c>
    </row>
    <row r="115" spans="1:14" ht="14.5" x14ac:dyDescent="0.35">
      <c r="A115">
        <v>21</v>
      </c>
      <c r="B115">
        <v>3</v>
      </c>
      <c r="C115">
        <v>2</v>
      </c>
      <c r="D115">
        <v>2021</v>
      </c>
      <c r="E115">
        <v>5</v>
      </c>
      <c r="F115">
        <v>1</v>
      </c>
      <c r="G115">
        <v>6</v>
      </c>
      <c r="H115">
        <v>8</v>
      </c>
      <c r="I115">
        <v>17.895</v>
      </c>
      <c r="M115" s="1">
        <f t="shared" si="2"/>
        <v>108497.895</v>
      </c>
    </row>
    <row r="116" spans="1:14" ht="14.5" x14ac:dyDescent="0.35">
      <c r="A116">
        <v>20</v>
      </c>
      <c r="B116">
        <v>4</v>
      </c>
      <c r="C116">
        <v>0</v>
      </c>
      <c r="D116">
        <v>2021</v>
      </c>
      <c r="E116">
        <v>5</v>
      </c>
      <c r="F116">
        <v>1</v>
      </c>
      <c r="G116">
        <v>6</v>
      </c>
      <c r="H116">
        <v>8</v>
      </c>
      <c r="I116">
        <v>24.361000000000001</v>
      </c>
      <c r="J116">
        <v>8</v>
      </c>
      <c r="K116">
        <v>1</v>
      </c>
      <c r="M116" s="1">
        <f t="shared" si="2"/>
        <v>108504.361</v>
      </c>
      <c r="N116">
        <f>M116-M113</f>
        <v>25.198000000003958</v>
      </c>
    </row>
    <row r="117" spans="1:14" ht="14.5" x14ac:dyDescent="0.35">
      <c r="A117">
        <v>22</v>
      </c>
      <c r="B117">
        <v>0</v>
      </c>
      <c r="C117">
        <v>1</v>
      </c>
      <c r="D117">
        <v>2021</v>
      </c>
      <c r="E117">
        <v>5</v>
      </c>
      <c r="F117">
        <v>1</v>
      </c>
      <c r="G117">
        <v>6</v>
      </c>
      <c r="H117">
        <v>8</v>
      </c>
      <c r="I117">
        <v>48.732999999999997</v>
      </c>
      <c r="M117" s="1">
        <f t="shared" si="2"/>
        <v>108528.73299999999</v>
      </c>
      <c r="N117">
        <f>J116*1.3+10</f>
        <v>20.399999999999999</v>
      </c>
    </row>
    <row r="118" spans="1:14" ht="14.5" x14ac:dyDescent="0.35">
      <c r="A118">
        <v>22</v>
      </c>
      <c r="B118">
        <v>1</v>
      </c>
      <c r="C118">
        <v>1</v>
      </c>
      <c r="D118">
        <v>2021</v>
      </c>
      <c r="E118">
        <v>5</v>
      </c>
      <c r="F118">
        <v>1</v>
      </c>
      <c r="G118">
        <v>6</v>
      </c>
      <c r="H118">
        <v>13</v>
      </c>
      <c r="I118">
        <v>33.664999999999999</v>
      </c>
      <c r="M118" s="1">
        <f t="shared" si="2"/>
        <v>108813.66499999999</v>
      </c>
    </row>
    <row r="119" spans="1:14" ht="14.5" x14ac:dyDescent="0.35">
      <c r="A119">
        <v>22</v>
      </c>
      <c r="B119">
        <v>2</v>
      </c>
      <c r="C119">
        <v>2</v>
      </c>
      <c r="D119">
        <v>2021</v>
      </c>
      <c r="E119">
        <v>5</v>
      </c>
      <c r="F119">
        <v>1</v>
      </c>
      <c r="G119">
        <v>6</v>
      </c>
      <c r="H119">
        <v>13</v>
      </c>
      <c r="I119">
        <v>44.14</v>
      </c>
      <c r="M119" s="1">
        <f t="shared" si="2"/>
        <v>108824.14</v>
      </c>
    </row>
    <row r="120" spans="1:14" ht="14.5" x14ac:dyDescent="0.35">
      <c r="A120">
        <v>22</v>
      </c>
      <c r="B120">
        <v>3</v>
      </c>
      <c r="C120">
        <v>2</v>
      </c>
      <c r="D120">
        <v>2021</v>
      </c>
      <c r="E120">
        <v>5</v>
      </c>
      <c r="F120">
        <v>1</v>
      </c>
      <c r="G120">
        <v>6</v>
      </c>
      <c r="H120">
        <v>13</v>
      </c>
      <c r="I120">
        <v>57.59</v>
      </c>
      <c r="M120" s="1">
        <f t="shared" si="2"/>
        <v>108837.59</v>
      </c>
    </row>
    <row r="121" spans="1:14" ht="14.5" x14ac:dyDescent="0.35">
      <c r="A121">
        <v>22</v>
      </c>
      <c r="B121">
        <v>5</v>
      </c>
      <c r="C121">
        <v>1</v>
      </c>
      <c r="D121">
        <v>2021</v>
      </c>
      <c r="E121">
        <v>5</v>
      </c>
      <c r="F121">
        <v>1</v>
      </c>
      <c r="G121">
        <v>6</v>
      </c>
      <c r="H121">
        <v>14</v>
      </c>
      <c r="I121">
        <v>6.7460000000000004</v>
      </c>
      <c r="J121">
        <v>5</v>
      </c>
      <c r="K121">
        <v>0</v>
      </c>
      <c r="M121" s="1">
        <f t="shared" si="2"/>
        <v>108846.746</v>
      </c>
      <c r="N121">
        <f>M121-M118</f>
        <v>33.081000000005588</v>
      </c>
    </row>
    <row r="122" spans="1:14" ht="14.5" x14ac:dyDescent="0.35">
      <c r="A122">
        <v>23</v>
      </c>
      <c r="B122">
        <v>0</v>
      </c>
      <c r="C122">
        <v>0</v>
      </c>
      <c r="D122">
        <v>2021</v>
      </c>
      <c r="E122">
        <v>5</v>
      </c>
      <c r="F122">
        <v>1</v>
      </c>
      <c r="G122">
        <v>6</v>
      </c>
      <c r="H122">
        <v>14</v>
      </c>
      <c r="I122">
        <v>41.764000000000003</v>
      </c>
      <c r="M122" s="1">
        <f t="shared" si="2"/>
        <v>108881.764</v>
      </c>
      <c r="N122">
        <f>J121*1.3+10</f>
        <v>16.5</v>
      </c>
    </row>
    <row r="123" spans="1:14" ht="14.5" x14ac:dyDescent="0.35">
      <c r="A123">
        <v>23</v>
      </c>
      <c r="B123">
        <v>1</v>
      </c>
      <c r="C123">
        <v>0</v>
      </c>
      <c r="D123">
        <v>2021</v>
      </c>
      <c r="E123">
        <v>5</v>
      </c>
      <c r="F123">
        <v>1</v>
      </c>
      <c r="G123">
        <v>6</v>
      </c>
      <c r="H123">
        <v>21</v>
      </c>
      <c r="I123">
        <v>38.590000000000003</v>
      </c>
      <c r="M123" s="1">
        <f t="shared" si="2"/>
        <v>109298.59</v>
      </c>
    </row>
    <row r="124" spans="1:14" ht="14.5" x14ac:dyDescent="0.35">
      <c r="A124">
        <v>23</v>
      </c>
      <c r="B124">
        <v>2</v>
      </c>
      <c r="C124">
        <v>2</v>
      </c>
      <c r="D124">
        <v>2021</v>
      </c>
      <c r="E124">
        <v>5</v>
      </c>
      <c r="F124">
        <v>1</v>
      </c>
      <c r="G124">
        <v>6</v>
      </c>
      <c r="H124">
        <v>21</v>
      </c>
      <c r="I124">
        <v>46.304000000000002</v>
      </c>
      <c r="M124" s="1">
        <f t="shared" si="2"/>
        <v>109306.304</v>
      </c>
    </row>
    <row r="125" spans="1:14" ht="14.5" x14ac:dyDescent="0.35">
      <c r="A125">
        <v>23</v>
      </c>
      <c r="B125">
        <v>3</v>
      </c>
      <c r="C125">
        <v>2</v>
      </c>
      <c r="D125">
        <v>2021</v>
      </c>
      <c r="E125">
        <v>5</v>
      </c>
      <c r="F125">
        <v>1</v>
      </c>
      <c r="G125">
        <v>6</v>
      </c>
      <c r="H125">
        <v>21</v>
      </c>
      <c r="I125">
        <v>56.473999999999997</v>
      </c>
      <c r="M125" s="1">
        <f t="shared" si="2"/>
        <v>109316.474</v>
      </c>
    </row>
    <row r="126" spans="1:14" ht="14.5" x14ac:dyDescent="0.35">
      <c r="A126">
        <v>23</v>
      </c>
      <c r="B126">
        <v>5</v>
      </c>
      <c r="C126">
        <v>0</v>
      </c>
      <c r="D126">
        <v>2021</v>
      </c>
      <c r="E126">
        <v>5</v>
      </c>
      <c r="F126">
        <v>1</v>
      </c>
      <c r="G126">
        <v>6</v>
      </c>
      <c r="H126">
        <v>22</v>
      </c>
      <c r="I126">
        <v>1.4339999999999999</v>
      </c>
      <c r="J126">
        <v>8</v>
      </c>
      <c r="K126">
        <v>1</v>
      </c>
      <c r="M126" s="1">
        <f t="shared" si="2"/>
        <v>109321.43399999999</v>
      </c>
      <c r="N126">
        <f>M126-M123</f>
        <v>22.843999999997322</v>
      </c>
    </row>
    <row r="127" spans="1:14" ht="14.5" x14ac:dyDescent="0.35">
      <c r="A127">
        <v>24</v>
      </c>
      <c r="B127">
        <v>0</v>
      </c>
      <c r="C127">
        <v>1</v>
      </c>
      <c r="D127">
        <v>2021</v>
      </c>
      <c r="E127">
        <v>5</v>
      </c>
      <c r="F127">
        <v>1</v>
      </c>
      <c r="G127">
        <v>6</v>
      </c>
      <c r="H127">
        <v>22</v>
      </c>
      <c r="I127">
        <v>36.476999999999997</v>
      </c>
      <c r="M127" s="1">
        <f t="shared" si="2"/>
        <v>109356.477</v>
      </c>
      <c r="N127">
        <f>J126*1.3+10</f>
        <v>20.399999999999999</v>
      </c>
    </row>
    <row r="128" spans="1:14" ht="14.5" x14ac:dyDescent="0.35">
      <c r="A128">
        <v>24</v>
      </c>
      <c r="B128">
        <v>1</v>
      </c>
      <c r="C128">
        <v>1</v>
      </c>
      <c r="D128">
        <v>2021</v>
      </c>
      <c r="E128">
        <v>5</v>
      </c>
      <c r="F128">
        <v>1</v>
      </c>
      <c r="G128">
        <v>6</v>
      </c>
      <c r="H128">
        <v>31</v>
      </c>
      <c r="I128">
        <v>7.64</v>
      </c>
      <c r="M128" s="1">
        <f t="shared" si="2"/>
        <v>109867.64</v>
      </c>
    </row>
    <row r="129" spans="1:14" ht="14.5" x14ac:dyDescent="0.35">
      <c r="A129">
        <v>24</v>
      </c>
      <c r="B129">
        <v>2</v>
      </c>
      <c r="C129">
        <v>2</v>
      </c>
      <c r="D129">
        <v>2021</v>
      </c>
      <c r="E129">
        <v>5</v>
      </c>
      <c r="F129">
        <v>1</v>
      </c>
      <c r="G129">
        <v>6</v>
      </c>
      <c r="H129">
        <v>31</v>
      </c>
      <c r="I129">
        <v>17.210999999999999</v>
      </c>
      <c r="M129" s="1">
        <f t="shared" si="2"/>
        <v>109877.211</v>
      </c>
    </row>
    <row r="130" spans="1:14" ht="14.5" x14ac:dyDescent="0.35">
      <c r="A130">
        <v>24</v>
      </c>
      <c r="B130">
        <v>3</v>
      </c>
      <c r="C130">
        <v>2</v>
      </c>
      <c r="D130">
        <v>2021</v>
      </c>
      <c r="E130">
        <v>5</v>
      </c>
      <c r="F130">
        <v>1</v>
      </c>
      <c r="G130">
        <v>6</v>
      </c>
      <c r="H130">
        <v>31</v>
      </c>
      <c r="I130">
        <v>29.292999999999999</v>
      </c>
      <c r="M130" s="1">
        <f t="shared" si="2"/>
        <v>109889.29300000001</v>
      </c>
    </row>
    <row r="131" spans="1:14" ht="14.5" x14ac:dyDescent="0.35">
      <c r="A131">
        <v>24</v>
      </c>
      <c r="B131">
        <v>5</v>
      </c>
      <c r="C131">
        <v>1</v>
      </c>
      <c r="D131">
        <v>2021</v>
      </c>
      <c r="E131">
        <v>5</v>
      </c>
      <c r="F131">
        <v>1</v>
      </c>
      <c r="G131">
        <v>6</v>
      </c>
      <c r="H131">
        <v>31</v>
      </c>
      <c r="I131">
        <v>33.807000000000002</v>
      </c>
      <c r="J131">
        <v>8</v>
      </c>
      <c r="K131">
        <v>1</v>
      </c>
      <c r="M131" s="1">
        <f t="shared" si="2"/>
        <v>109893.807</v>
      </c>
      <c r="N131">
        <f>M131-M128</f>
        <v>26.167000000001281</v>
      </c>
    </row>
    <row r="132" spans="1:14" ht="14.5" x14ac:dyDescent="0.35">
      <c r="A132">
        <v>25</v>
      </c>
      <c r="B132">
        <v>0</v>
      </c>
      <c r="C132">
        <v>1</v>
      </c>
      <c r="D132">
        <v>2021</v>
      </c>
      <c r="E132">
        <v>5</v>
      </c>
      <c r="F132">
        <v>1</v>
      </c>
      <c r="G132">
        <v>6</v>
      </c>
      <c r="H132">
        <v>32</v>
      </c>
      <c r="I132">
        <v>8.8569999999999993</v>
      </c>
      <c r="M132" s="1">
        <f>F132*86400+I132+H132*60+G132*60*60</f>
        <v>109928.857</v>
      </c>
      <c r="N132">
        <f>J131*1.3+10</f>
        <v>20.399999999999999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selected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Otsuka</dc:creator>
  <cp:lastModifiedBy>Shintaro Otsuka</cp:lastModifiedBy>
  <dcterms:created xsi:type="dcterms:W3CDTF">2026-02-23T22:04:41Z</dcterms:created>
  <dcterms:modified xsi:type="dcterms:W3CDTF">2026-02-24T01:21:07Z</dcterms:modified>
</cp:coreProperties>
</file>